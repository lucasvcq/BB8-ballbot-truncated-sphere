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se 1 et 2" sheetId="1" r:id="rId5"/>
    <sheet state="visible" name="Phase 3" sheetId="2" r:id="rId6"/>
  </sheets>
  <definedNames/>
  <calcPr/>
</workbook>
</file>

<file path=xl/sharedStrings.xml><?xml version="1.0" encoding="utf-8"?>
<sst xmlns="http://schemas.openxmlformats.org/spreadsheetml/2006/main" count="77" uniqueCount="64">
  <si>
    <t>coeff</t>
  </si>
  <si>
    <t>Date</t>
  </si>
  <si>
    <t>Veille sur l’existant</t>
  </si>
  <si>
    <t>Cahier des charges</t>
  </si>
  <si>
    <t>Schéma Cinématique</t>
  </si>
  <si>
    <t>Prise en main du logiciel</t>
  </si>
  <si>
    <t>Etude des solutions</t>
  </si>
  <si>
    <t>Gestion OpenProject</t>
  </si>
  <si>
    <t>CREATION DU SITE</t>
  </si>
  <si>
    <t>Roue Principale</t>
  </si>
  <si>
    <t>Gestion du joystic</t>
  </si>
  <si>
    <t>Diagramme Pieuvre</t>
  </si>
  <si>
    <t>Diagramme FAST</t>
  </si>
  <si>
    <t>Veille sur existant</t>
  </si>
  <si>
    <t>Analyse fonctionnelle</t>
  </si>
  <si>
    <t>Modèle numérique Matlab</t>
  </si>
  <si>
    <t>Dessin/Schéma</t>
  </si>
  <si>
    <t>Calculs prédimensionnement</t>
  </si>
  <si>
    <t>Procédure réunion hebdo</t>
  </si>
  <si>
    <t xml:space="preserve">Schéma puissance commande </t>
  </si>
  <si>
    <t xml:space="preserve">Algorithme </t>
  </si>
  <si>
    <t>Choix composants</t>
  </si>
  <si>
    <t>Chassis</t>
  </si>
  <si>
    <t>Cours Informatique</t>
  </si>
  <si>
    <t>Roue Inertielle</t>
  </si>
  <si>
    <t>Gestion Openproject</t>
  </si>
  <si>
    <t>Matrice faisabilité</t>
  </si>
  <si>
    <t>Document faisabilité</t>
  </si>
  <si>
    <t>Adaptateur roues motrices</t>
  </si>
  <si>
    <t>Présentation EEE/MIA</t>
  </si>
  <si>
    <t>Assemblage</t>
  </si>
  <si>
    <t>TOTAL</t>
  </si>
  <si>
    <t>Avancement du Projet par jours</t>
  </si>
  <si>
    <t>Avencement total</t>
  </si>
  <si>
    <t>% sur la Phase     1 et 2</t>
  </si>
  <si>
    <t>Progression total</t>
  </si>
  <si>
    <t>progression actuel :</t>
  </si>
  <si>
    <t>Phase       1 et 2</t>
  </si>
  <si>
    <t>Schéma puissance et commande</t>
  </si>
  <si>
    <t>Avancé matlab simulink</t>
  </si>
  <si>
    <t xml:space="preserve">
Document Faisabilité
</t>
  </si>
  <si>
    <t>Présentation conception</t>
  </si>
  <si>
    <t>Jalon conception</t>
  </si>
  <si>
    <t>Budget#2</t>
  </si>
  <si>
    <t>EEE</t>
  </si>
  <si>
    <t>Imprimer pièces châssis</t>
  </si>
  <si>
    <t>Imprimer roue inertielle</t>
  </si>
  <si>
    <t>Assembler le sous ensemble roue inertielle</t>
  </si>
  <si>
    <t>Assembler les 2 sous-ensembles</t>
  </si>
  <si>
    <t>schématiser les nouvelles pièces sur solidworks</t>
  </si>
  <si>
    <t>modifier les pièces qui ne marchent pas</t>
  </si>
  <si>
    <t>réaliser les nouvelles pièces à ajouter</t>
  </si>
  <si>
    <t>Schématiser le cablâge</t>
  </si>
  <si>
    <t>piloter / coder les moteurs</t>
  </si>
  <si>
    <t>construire des pièces pour arranger ce qui est perfectible</t>
  </si>
  <si>
    <t>Faire l'asservissement</t>
  </si>
  <si>
    <t>faire l'animation de montage SolidWorks</t>
  </si>
  <si>
    <t>gestion globale</t>
  </si>
  <si>
    <t>Design du site</t>
  </si>
  <si>
    <t>Création Wifi ESP32</t>
  </si>
  <si>
    <t>Connexion QR code</t>
  </si>
  <si>
    <t>Dossier Technique</t>
  </si>
  <si>
    <t>Progression</t>
  </si>
  <si>
    <t>progression phase1et2: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</si>
</sst>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2328"/>
      <name val="Arial"/>
      <scheme val="minor"/>
    </font>
    <font>
      <b/>
      <sz val="11.0"/>
      <color rgb="FF1F2328"/>
      <name val="-apple-system"/>
    </font>
    <font>
      <b/>
      <sz val="11.0"/>
      <color rgb="FF1F2328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readingOrder="0" shrinkToFit="0" wrapText="1"/>
    </xf>
    <xf borderId="0" fillId="2" fontId="3" numFmtId="164" xfId="0" applyAlignment="1" applyFont="1" applyNumberFormat="1">
      <alignment horizontal="left" readingOrder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0" fillId="2" fontId="4" numFmtId="164" xfId="0" applyAlignment="1" applyFont="1" applyNumberFormat="1">
      <alignment horizontal="left" readingOrder="0"/>
    </xf>
    <xf borderId="0" fillId="3" fontId="1" numFmtId="164" xfId="0" applyAlignment="1" applyFill="1" applyFont="1" applyNumberForma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3" fontId="1" numFmtId="0" xfId="0" applyFont="1"/>
    <xf borderId="0" fillId="0" fontId="1" numFmtId="10" xfId="0" applyAlignment="1" applyFont="1" applyNumberFormat="1">
      <alignment horizontal="center" readingOrder="0" shrinkToFit="0" vertical="center" wrapText="1"/>
    </xf>
    <xf borderId="0" fillId="0" fontId="1" numFmtId="10" xfId="0" applyAlignment="1" applyFont="1" applyNumberFormat="1">
      <alignment readingOrder="0"/>
    </xf>
    <xf borderId="0" fillId="2" fontId="4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1181100</xdr:colOff>
      <xdr:row>29</xdr:row>
      <xdr:rowOff>323850</xdr:rowOff>
    </xdr:from>
    <xdr:ext cx="5715000" cy="3533775"/>
    <xdr:pic>
      <xdr:nvPicPr>
        <xdr:cNvPr id="1702443461" name="Chart1" title="Graphiqu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29</xdr:row>
      <xdr:rowOff>304800</xdr:rowOff>
    </xdr:from>
    <xdr:ext cx="5715000" cy="3533775"/>
    <xdr:pic>
      <xdr:nvPicPr>
        <xdr:cNvPr id="514492807" name="Chart2" title="Graphiqu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2" width="20.25"/>
    <col customWidth="1" min="3" max="3" width="10.25"/>
    <col customWidth="1" min="4" max="4" width="13.5"/>
    <col customWidth="1" min="5" max="5" width="11.13"/>
    <col customWidth="1" min="6" max="6" width="15.5"/>
    <col customWidth="1" min="7" max="7" width="16.5"/>
    <col customWidth="1" min="8" max="8" width="12.38"/>
    <col customWidth="1" min="9" max="9" width="8.38"/>
    <col customWidth="1" min="10" max="10" width="9.0"/>
    <col customWidth="1" min="11" max="12" width="9.63"/>
    <col customWidth="1" min="13" max="13" width="7.75"/>
    <col customWidth="1" min="14" max="14" width="9.0"/>
    <col customWidth="1" min="15" max="15" width="10.38"/>
    <col customWidth="1" min="16" max="16" width="8.88"/>
    <col customWidth="1" min="17" max="17" width="12.63"/>
    <col customWidth="1" min="18" max="18" width="11.88"/>
    <col customWidth="1" min="19" max="19" width="11.63"/>
    <col customWidth="1" min="20" max="20" width="9.25"/>
    <col customWidth="1" min="21" max="21" width="9.0"/>
    <col customWidth="1" min="22" max="22" width="10.0"/>
    <col customWidth="1" min="23" max="23" width="6.88"/>
    <col customWidth="1" min="24" max="24" width="10.25"/>
    <col customWidth="1" min="25" max="25" width="11.75"/>
    <col customWidth="1" min="26" max="26" width="11.0"/>
    <col customWidth="1" min="27" max="27" width="8.0"/>
    <col customWidth="1" min="28" max="28" width="8.63"/>
    <col customWidth="1" min="29" max="29" width="11.88"/>
    <col customWidth="1" min="30" max="30" width="10.38"/>
    <col customWidth="1" min="31" max="31" width="10.13"/>
    <col customWidth="1" min="32" max="32" width="6.25"/>
  </cols>
  <sheetData>
    <row r="1">
      <c r="A1" s="1" t="s">
        <v>0</v>
      </c>
      <c r="B1" s="1">
        <v>1.0</v>
      </c>
      <c r="C1" s="1">
        <v>1.0</v>
      </c>
      <c r="D1" s="1">
        <v>1.0</v>
      </c>
      <c r="E1" s="1">
        <v>1.0</v>
      </c>
      <c r="F1" s="1">
        <v>2.0</v>
      </c>
      <c r="G1" s="2">
        <v>1.0</v>
      </c>
      <c r="H1" s="2">
        <v>5.0</v>
      </c>
      <c r="I1" s="3">
        <v>7.0</v>
      </c>
      <c r="J1" s="3">
        <v>4.0</v>
      </c>
      <c r="K1" s="3">
        <v>1.0</v>
      </c>
      <c r="L1" s="3">
        <v>1.0</v>
      </c>
      <c r="M1" s="3">
        <v>2.0</v>
      </c>
      <c r="N1" s="3">
        <v>4.0</v>
      </c>
      <c r="O1" s="3">
        <v>1.0</v>
      </c>
      <c r="P1" s="3">
        <v>4.0</v>
      </c>
      <c r="Q1" s="3">
        <v>1.0</v>
      </c>
      <c r="R1" s="3">
        <v>4.0</v>
      </c>
      <c r="S1" s="3">
        <v>1.0</v>
      </c>
      <c r="T1" s="3">
        <v>3.0</v>
      </c>
      <c r="U1" s="3">
        <v>3.0</v>
      </c>
      <c r="V1" s="3">
        <v>2.0</v>
      </c>
      <c r="W1" s="3">
        <v>7.0</v>
      </c>
      <c r="X1" s="3">
        <v>2.0</v>
      </c>
      <c r="Y1" s="3">
        <v>7.0</v>
      </c>
      <c r="Z1" s="3">
        <v>3.0</v>
      </c>
      <c r="AA1" s="3">
        <v>2.0</v>
      </c>
      <c r="AB1" s="3">
        <v>4.0</v>
      </c>
      <c r="AC1" s="3">
        <v>5.0</v>
      </c>
      <c r="AD1" s="3">
        <v>3.0</v>
      </c>
      <c r="AE1" s="3">
        <v>7.0</v>
      </c>
      <c r="AF1" s="4">
        <f>SUM(B1:AE1)</f>
        <v>90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5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</row>
    <row r="3">
      <c r="A3" s="6">
        <v>45545.0</v>
      </c>
      <c r="B3" s="1"/>
      <c r="C3" s="1"/>
      <c r="D3" s="1"/>
      <c r="E3" s="1"/>
      <c r="F3" s="1"/>
      <c r="G3" s="1">
        <v>14.0</v>
      </c>
      <c r="H3" s="2"/>
      <c r="AF3" s="7">
        <f t="shared" ref="AF3:AF28" si="1">SUM(B3:AE3)</f>
        <v>14</v>
      </c>
    </row>
    <row r="4">
      <c r="A4" s="6">
        <v>45558.0</v>
      </c>
      <c r="B4" s="1"/>
      <c r="C4" s="1"/>
      <c r="D4" s="1"/>
      <c r="E4" s="1"/>
      <c r="F4" s="1"/>
      <c r="G4" s="2">
        <v>14.0</v>
      </c>
      <c r="H4" s="8"/>
      <c r="AF4" s="7">
        <f t="shared" si="1"/>
        <v>14</v>
      </c>
    </row>
    <row r="5">
      <c r="A5" s="6">
        <v>45559.0</v>
      </c>
      <c r="B5" s="1"/>
      <c r="C5" s="1"/>
      <c r="D5" s="1"/>
      <c r="E5" s="1"/>
      <c r="F5" s="1"/>
      <c r="G5" s="2">
        <v>14.0</v>
      </c>
      <c r="H5" s="8"/>
      <c r="AF5" s="7">
        <f t="shared" si="1"/>
        <v>14</v>
      </c>
    </row>
    <row r="6">
      <c r="A6" s="6">
        <v>45565.0</v>
      </c>
      <c r="B6" s="1">
        <v>28.0</v>
      </c>
      <c r="C6" s="1"/>
      <c r="D6" s="1"/>
      <c r="E6" s="1"/>
      <c r="F6" s="1"/>
      <c r="G6" s="8"/>
      <c r="H6" s="8"/>
      <c r="AF6" s="7">
        <f t="shared" si="1"/>
        <v>28</v>
      </c>
    </row>
    <row r="7">
      <c r="A7" s="6">
        <v>45566.0</v>
      </c>
      <c r="B7" s="1">
        <v>5.0</v>
      </c>
      <c r="C7" s="1">
        <v>2.0</v>
      </c>
      <c r="D7" s="1"/>
      <c r="E7" s="1">
        <v>4.0</v>
      </c>
      <c r="F7" s="1"/>
      <c r="G7" s="8"/>
      <c r="H7" s="8"/>
      <c r="AF7" s="7">
        <f t="shared" si="1"/>
        <v>11</v>
      </c>
    </row>
    <row r="8">
      <c r="A8" s="6">
        <v>45572.0</v>
      </c>
      <c r="B8" s="1"/>
      <c r="C8" s="1">
        <v>3.0</v>
      </c>
      <c r="D8" s="1"/>
      <c r="E8" s="1">
        <v>4.0</v>
      </c>
      <c r="F8" s="1">
        <v>8.0</v>
      </c>
      <c r="G8" s="8"/>
      <c r="H8" s="8"/>
      <c r="AF8" s="7">
        <f t="shared" si="1"/>
        <v>15</v>
      </c>
    </row>
    <row r="9">
      <c r="A9" s="6">
        <v>45573.0</v>
      </c>
      <c r="B9" s="1">
        <v>12.0</v>
      </c>
      <c r="C9" s="1">
        <v>3.0</v>
      </c>
      <c r="D9" s="1"/>
      <c r="E9" s="1">
        <v>6.0</v>
      </c>
      <c r="F9" s="1"/>
      <c r="G9" s="8"/>
      <c r="H9" s="8"/>
      <c r="AF9" s="7">
        <f t="shared" si="1"/>
        <v>21</v>
      </c>
    </row>
    <row r="10">
      <c r="A10" s="6">
        <v>45575.0</v>
      </c>
      <c r="B10" s="1">
        <v>6.0</v>
      </c>
      <c r="C10" s="1">
        <v>2.0</v>
      </c>
      <c r="D10" s="1">
        <v>3.0</v>
      </c>
      <c r="E10" s="1">
        <v>4.0</v>
      </c>
      <c r="F10" s="1">
        <v>8.0</v>
      </c>
      <c r="G10" s="8"/>
      <c r="H10" s="8"/>
      <c r="AF10" s="7">
        <f t="shared" si="1"/>
        <v>23</v>
      </c>
    </row>
    <row r="11">
      <c r="A11" s="6">
        <v>45579.0</v>
      </c>
      <c r="B11" s="1">
        <v>6.0</v>
      </c>
      <c r="C11" s="1">
        <v>3.0</v>
      </c>
      <c r="D11" s="1">
        <v>7.0</v>
      </c>
      <c r="E11" s="1">
        <v>3.5</v>
      </c>
      <c r="F11" s="1"/>
      <c r="G11" s="8"/>
      <c r="H11" s="8"/>
      <c r="I11" s="9">
        <v>1.0</v>
      </c>
      <c r="L11" s="9">
        <v>4.0</v>
      </c>
      <c r="AF11" s="7">
        <f t="shared" si="1"/>
        <v>24.5</v>
      </c>
    </row>
    <row r="12">
      <c r="A12" s="6">
        <v>45580.0</v>
      </c>
      <c r="B12" s="1">
        <v>4.0</v>
      </c>
      <c r="C12" s="1">
        <v>5.0</v>
      </c>
      <c r="D12" s="1">
        <v>3.0</v>
      </c>
      <c r="E12" s="1"/>
      <c r="F12" s="1"/>
      <c r="G12" s="8"/>
      <c r="H12" s="2">
        <v>4.0</v>
      </c>
      <c r="I12" s="9">
        <v>3.0</v>
      </c>
      <c r="K12" s="9">
        <v>4.0</v>
      </c>
      <c r="AF12" s="7">
        <f t="shared" si="1"/>
        <v>23</v>
      </c>
    </row>
    <row r="13">
      <c r="A13" s="6">
        <v>45586.0</v>
      </c>
      <c r="B13" s="1">
        <v>18.0</v>
      </c>
      <c r="C13" s="1">
        <v>2.0</v>
      </c>
      <c r="D13" s="1"/>
      <c r="E13" s="1"/>
      <c r="F13" s="1"/>
      <c r="G13" s="2">
        <v>1.0</v>
      </c>
      <c r="H13" s="8"/>
      <c r="AF13" s="7">
        <f t="shared" si="1"/>
        <v>21</v>
      </c>
    </row>
    <row r="14">
      <c r="A14" s="6">
        <v>45587.0</v>
      </c>
      <c r="B14" s="1">
        <v>4.0</v>
      </c>
      <c r="C14" s="1"/>
      <c r="D14" s="1">
        <v>3.0</v>
      </c>
      <c r="E14" s="1"/>
      <c r="F14" s="1"/>
      <c r="G14" s="2">
        <v>3.0</v>
      </c>
      <c r="H14" s="8"/>
      <c r="I14" s="9">
        <v>5.0</v>
      </c>
      <c r="J14" s="9">
        <v>2.0</v>
      </c>
      <c r="M14" s="9">
        <v>1.0</v>
      </c>
      <c r="X14" s="9">
        <v>4.0</v>
      </c>
      <c r="Z14" s="9">
        <v>2.0</v>
      </c>
      <c r="AF14" s="7">
        <f t="shared" si="1"/>
        <v>24</v>
      </c>
    </row>
    <row r="15">
      <c r="A15" s="6">
        <v>45614.0</v>
      </c>
      <c r="B15" s="1"/>
      <c r="C15" s="1"/>
      <c r="D15" s="1"/>
      <c r="E15" s="1"/>
      <c r="F15" s="1"/>
      <c r="G15" s="8"/>
      <c r="H15" s="8"/>
      <c r="I15" s="9">
        <v>3.0</v>
      </c>
      <c r="M15" s="9">
        <v>3.0</v>
      </c>
      <c r="N15" s="9">
        <v>1.0</v>
      </c>
      <c r="R15" s="9">
        <v>8.0</v>
      </c>
      <c r="Y15" s="9">
        <v>6.0</v>
      </c>
      <c r="AF15" s="7">
        <f t="shared" si="1"/>
        <v>21</v>
      </c>
    </row>
    <row r="16">
      <c r="A16" s="6">
        <v>45615.0</v>
      </c>
      <c r="B16" s="1"/>
      <c r="C16" s="1"/>
      <c r="D16" s="1"/>
      <c r="E16" s="1"/>
      <c r="F16" s="1"/>
      <c r="G16" s="8"/>
      <c r="H16" s="8"/>
      <c r="I16" s="9">
        <v>2.0</v>
      </c>
      <c r="N16" s="9">
        <v>2.0</v>
      </c>
      <c r="O16" s="9">
        <v>2.0</v>
      </c>
      <c r="R16" s="9">
        <v>5.0</v>
      </c>
      <c r="W16" s="9">
        <v>3.0</v>
      </c>
      <c r="X16" s="9">
        <v>2.0</v>
      </c>
      <c r="Y16" s="9">
        <v>2.5</v>
      </c>
      <c r="AF16" s="7">
        <f t="shared" si="1"/>
        <v>18.5</v>
      </c>
    </row>
    <row r="17">
      <c r="A17" s="6">
        <v>45621.0</v>
      </c>
      <c r="B17" s="1"/>
      <c r="C17" s="1"/>
      <c r="D17" s="1"/>
      <c r="E17" s="1"/>
      <c r="F17" s="1"/>
      <c r="G17" s="8"/>
      <c r="H17" s="8"/>
      <c r="I17" s="9">
        <v>3.5</v>
      </c>
      <c r="N17" s="9">
        <v>2.0</v>
      </c>
      <c r="O17" s="9">
        <v>2.0</v>
      </c>
      <c r="R17" s="9">
        <v>6.5</v>
      </c>
      <c r="V17" s="9">
        <v>4.0</v>
      </c>
      <c r="Y17" s="9">
        <v>4.5</v>
      </c>
      <c r="Z17" s="9">
        <v>2.0</v>
      </c>
      <c r="AF17" s="7">
        <f t="shared" si="1"/>
        <v>24.5</v>
      </c>
    </row>
    <row r="18">
      <c r="A18" s="6">
        <v>45622.0</v>
      </c>
      <c r="B18" s="1"/>
      <c r="C18" s="1"/>
      <c r="D18" s="1"/>
      <c r="E18" s="1"/>
      <c r="F18" s="1"/>
      <c r="G18" s="8"/>
      <c r="H18" s="8"/>
      <c r="M18" s="9">
        <v>1.0</v>
      </c>
      <c r="N18" s="9">
        <v>2.0</v>
      </c>
      <c r="R18" s="9">
        <v>3.5</v>
      </c>
      <c r="V18" s="9">
        <v>2.5</v>
      </c>
      <c r="W18" s="9">
        <v>2.5</v>
      </c>
      <c r="Y18" s="9">
        <v>2.5</v>
      </c>
      <c r="Z18" s="9">
        <v>3.5</v>
      </c>
      <c r="AF18" s="7">
        <f t="shared" si="1"/>
        <v>17.5</v>
      </c>
    </row>
    <row r="19">
      <c r="A19" s="6">
        <v>45628.0</v>
      </c>
      <c r="B19" s="1"/>
      <c r="C19" s="1"/>
      <c r="D19" s="1"/>
      <c r="E19" s="1"/>
      <c r="F19" s="1"/>
      <c r="G19" s="8"/>
      <c r="H19" s="8"/>
      <c r="P19" s="9"/>
      <c r="Q19" s="9">
        <v>3.5</v>
      </c>
      <c r="R19" s="9">
        <v>4.0</v>
      </c>
      <c r="S19" s="9">
        <v>4.0</v>
      </c>
      <c r="W19" s="9">
        <v>3.5</v>
      </c>
      <c r="Y19" s="9">
        <v>3.5</v>
      </c>
      <c r="Z19" s="9">
        <v>4.0</v>
      </c>
      <c r="AF19" s="7">
        <f t="shared" si="1"/>
        <v>22.5</v>
      </c>
    </row>
    <row r="20">
      <c r="A20" s="6">
        <v>45629.0</v>
      </c>
      <c r="B20" s="1"/>
      <c r="C20" s="1"/>
      <c r="D20" s="1"/>
      <c r="E20" s="1"/>
      <c r="F20" s="1"/>
      <c r="G20" s="8"/>
      <c r="H20" s="8"/>
      <c r="J20" s="9">
        <v>3.0</v>
      </c>
      <c r="N20" s="9">
        <v>1.0</v>
      </c>
      <c r="P20" s="9"/>
      <c r="Q20" s="9">
        <v>2.5</v>
      </c>
      <c r="S20" s="9">
        <v>2.0</v>
      </c>
      <c r="V20" s="9">
        <v>3.0</v>
      </c>
      <c r="W20" s="9">
        <v>2.5</v>
      </c>
      <c r="Y20" s="9">
        <v>2.5</v>
      </c>
      <c r="Z20" s="9">
        <v>3.5</v>
      </c>
      <c r="AF20" s="7">
        <f t="shared" si="1"/>
        <v>20</v>
      </c>
    </row>
    <row r="21">
      <c r="A21" s="6">
        <v>45635.0</v>
      </c>
      <c r="B21" s="1"/>
      <c r="C21" s="1"/>
      <c r="D21" s="1"/>
      <c r="E21" s="1"/>
      <c r="F21" s="1"/>
      <c r="G21" s="8"/>
      <c r="H21" s="8"/>
      <c r="N21" s="9">
        <v>2.0</v>
      </c>
      <c r="P21" s="9"/>
      <c r="Q21" s="9">
        <v>1.5</v>
      </c>
      <c r="S21" s="9">
        <v>2.0</v>
      </c>
      <c r="U21" s="9">
        <v>4.0</v>
      </c>
      <c r="W21" s="9">
        <v>3.5</v>
      </c>
      <c r="X21" s="9">
        <v>3.0</v>
      </c>
      <c r="Y21" s="9">
        <v>3.5</v>
      </c>
      <c r="Z21" s="9">
        <v>3.5</v>
      </c>
      <c r="AA21" s="9">
        <v>1.0</v>
      </c>
      <c r="AB21" s="9"/>
      <c r="AF21" s="7">
        <f t="shared" si="1"/>
        <v>24</v>
      </c>
    </row>
    <row r="22">
      <c r="A22" s="6">
        <v>45636.0</v>
      </c>
      <c r="B22" s="1"/>
      <c r="C22" s="1"/>
      <c r="D22" s="1"/>
      <c r="E22" s="1"/>
      <c r="F22" s="1"/>
      <c r="G22" s="8"/>
      <c r="H22" s="8"/>
      <c r="N22" s="9">
        <v>2.5</v>
      </c>
      <c r="S22" s="9">
        <v>2.0</v>
      </c>
      <c r="T22" s="9">
        <v>7.0</v>
      </c>
      <c r="W22" s="9">
        <v>2.5</v>
      </c>
      <c r="Z22" s="9">
        <v>3.0</v>
      </c>
      <c r="AF22" s="7">
        <f t="shared" si="1"/>
        <v>17</v>
      </c>
    </row>
    <row r="23">
      <c r="A23" s="6">
        <v>45642.0</v>
      </c>
      <c r="B23" s="1"/>
      <c r="C23" s="1"/>
      <c r="D23" s="1"/>
      <c r="E23" s="1"/>
      <c r="F23" s="1"/>
      <c r="G23" s="8"/>
      <c r="H23" s="8"/>
      <c r="N23" s="9">
        <v>3.0</v>
      </c>
      <c r="R23" s="9">
        <v>1.0</v>
      </c>
      <c r="V23" s="9">
        <v>3.0</v>
      </c>
      <c r="W23" s="9">
        <v>7.0</v>
      </c>
      <c r="AC23" s="9">
        <v>2.5</v>
      </c>
      <c r="AE23" s="9"/>
      <c r="AF23" s="7">
        <f t="shared" si="1"/>
        <v>16.5</v>
      </c>
    </row>
    <row r="24">
      <c r="A24" s="6">
        <v>45643.0</v>
      </c>
      <c r="B24" s="1"/>
      <c r="C24" s="1"/>
      <c r="D24" s="1"/>
      <c r="E24" s="1"/>
      <c r="F24" s="1"/>
      <c r="N24" s="9">
        <v>2.5</v>
      </c>
      <c r="Y24" s="9">
        <v>2.5</v>
      </c>
      <c r="Z24" s="9">
        <v>3.0</v>
      </c>
      <c r="AD24" s="9">
        <v>1.5</v>
      </c>
      <c r="AF24" s="7">
        <f t="shared" si="1"/>
        <v>9.5</v>
      </c>
    </row>
    <row r="25">
      <c r="A25" s="6">
        <v>45663.0</v>
      </c>
      <c r="B25" s="1"/>
      <c r="C25" s="1"/>
      <c r="D25" s="1"/>
      <c r="E25" s="1"/>
      <c r="F25" s="1"/>
      <c r="J25" s="9">
        <v>8.0</v>
      </c>
      <c r="W25" s="9">
        <v>3.0</v>
      </c>
      <c r="Y25" s="9">
        <v>3.0</v>
      </c>
      <c r="AB25" s="9">
        <v>3.5</v>
      </c>
      <c r="AE25" s="9">
        <v>2.5</v>
      </c>
      <c r="AF25" s="7">
        <f t="shared" si="1"/>
        <v>20</v>
      </c>
    </row>
    <row r="26">
      <c r="A26" s="6">
        <v>45664.0</v>
      </c>
      <c r="B26" s="1"/>
      <c r="C26" s="1"/>
      <c r="D26" s="1"/>
      <c r="E26" s="1"/>
      <c r="F26" s="1"/>
      <c r="P26" s="9">
        <v>2.0</v>
      </c>
      <c r="V26" s="9">
        <v>3.0</v>
      </c>
      <c r="AA26" s="9">
        <v>3.0</v>
      </c>
      <c r="AB26" s="9">
        <v>2.5</v>
      </c>
      <c r="AD26" s="9">
        <v>2.0</v>
      </c>
      <c r="AE26" s="9">
        <v>2.5</v>
      </c>
      <c r="AF26" s="7">
        <f t="shared" si="1"/>
        <v>15</v>
      </c>
    </row>
    <row r="27">
      <c r="A27" s="10">
        <v>45304.0</v>
      </c>
      <c r="B27" s="1"/>
      <c r="C27" s="1"/>
      <c r="D27" s="1"/>
      <c r="E27" s="1"/>
      <c r="F27" s="1"/>
      <c r="P27" s="9">
        <v>1.5</v>
      </c>
      <c r="AA27" s="9">
        <v>3.0</v>
      </c>
      <c r="AB27" s="9">
        <v>3.0</v>
      </c>
      <c r="AE27" s="9">
        <v>2.0</v>
      </c>
      <c r="AF27" s="7">
        <f t="shared" si="1"/>
        <v>9.5</v>
      </c>
    </row>
    <row r="28">
      <c r="A28" s="10">
        <v>45305.0</v>
      </c>
      <c r="B28" s="1"/>
      <c r="C28" s="1"/>
      <c r="D28" s="1"/>
      <c r="E28" s="1"/>
      <c r="F28" s="1"/>
      <c r="P28" s="9">
        <v>2.5</v>
      </c>
      <c r="T28" s="9">
        <v>4.5</v>
      </c>
      <c r="U28" s="9">
        <v>1.0</v>
      </c>
      <c r="AA28" s="9">
        <v>3.5</v>
      </c>
      <c r="AB28" s="9">
        <v>3.75</v>
      </c>
      <c r="AE28" s="9">
        <v>2.5</v>
      </c>
      <c r="AF28" s="7">
        <f t="shared" si="1"/>
        <v>17.75</v>
      </c>
    </row>
    <row r="29">
      <c r="A29" s="11"/>
      <c r="B29" s="12"/>
      <c r="C29" s="12"/>
      <c r="D29" s="12"/>
      <c r="E29" s="12"/>
      <c r="F29" s="12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>
      <c r="A30" s="1" t="s">
        <v>1</v>
      </c>
      <c r="B30" s="1" t="s">
        <v>32</v>
      </c>
      <c r="C30" s="1" t="s">
        <v>33</v>
      </c>
      <c r="D30" s="1" t="s">
        <v>34</v>
      </c>
      <c r="E30" s="1" t="s">
        <v>35</v>
      </c>
      <c r="F30" s="1"/>
    </row>
    <row r="31">
      <c r="A31" s="6">
        <v>45545.0</v>
      </c>
      <c r="B31" s="1">
        <f>SUM(B1*B3,C1*C3,D1*D3,E1*E3,F1*F3,G1*G3,H1*H3,I1*I3,J1*J3,K1*K3,L1*L3,M1*M3,N1*N3,O1*O3,P3*P1,Q1*Q3,R1*R3,S1*S3,T1*T3,U1*U3,V1*V3,W1*W3,X1*X3,Y1*Y3,Z1*Z3,AA1*AA3,AB3*AB1,AC1*AC3,AD1*AD3,AE3*AE1)</f>
        <v>14</v>
      </c>
      <c r="C31" s="1">
        <f>SUM(B31)</f>
        <v>14</v>
      </c>
      <c r="D31" s="14">
        <f>C31/B57</f>
        <v>0.01</v>
      </c>
      <c r="E31" s="14">
        <f>D31*H48</f>
        <v>0.0038</v>
      </c>
      <c r="F31" s="14"/>
    </row>
    <row r="32">
      <c r="A32" s="6">
        <v>45558.0</v>
      </c>
      <c r="B32" s="1">
        <f>SUM(B1*B4,C1*C4,D1*D4,E1*E4,F1*F4,G1*G4,H1*H4,I1*I4,J1*J4,K1*K4,L1*L4,M1*M4,N1*N4,O1*O4,P4*P1,Q1*Q4,R1*R4,S1*S4,T1*T4,U1*U4,V1*V4,W1*W4,X1*X4,Y1*Y4,Z1*Z4,AA1*AA4,AB4*AB1,AC1*AC4,AD1*AD4,AE1*AE4)</f>
        <v>14</v>
      </c>
      <c r="C32" s="1">
        <f>SUM(B31:B32)</f>
        <v>28</v>
      </c>
      <c r="D32" s="14">
        <f>C32/B57</f>
        <v>0.02</v>
      </c>
      <c r="E32" s="14">
        <f>D32*H48</f>
        <v>0.0076</v>
      </c>
      <c r="F32" s="1"/>
    </row>
    <row r="33">
      <c r="A33" s="6">
        <v>45559.0</v>
      </c>
      <c r="B33" s="1">
        <f>SUM(B1*B5,C1*C5,D1*D5,E1*E5,F1*F5,G1*G5,H1*H5,I1*I5,J1*J5,K1*K5,L1*L5,M1*M5,N1*N5,O1*O5,P1*P5,Q1*Q5,R1*R5,S1*S5,T1*T5,U1*U5,V1*V5,W1*W5,X1*X5,Y1*Y5,Z1*Z5,AA1*AA5,AB1*AB5,AC1*AC5,AD1*AD5,AE5*AE1)</f>
        <v>14</v>
      </c>
      <c r="C33" s="1">
        <f>SUM(B31:B33)</f>
        <v>42</v>
      </c>
      <c r="D33" s="14">
        <f>C33/B57</f>
        <v>0.03</v>
      </c>
      <c r="E33" s="14">
        <f>D33*H48</f>
        <v>0.0114</v>
      </c>
    </row>
    <row r="34">
      <c r="A34" s="6">
        <v>45565.0</v>
      </c>
      <c r="B34" s="1">
        <f>SUM(B1*B6,C1*C6,D1*D6,E1*E6,F1*F6,G1*G6,H1*H6,I1*I6,J1*J6,K1*K6,L1*L6,M1*M6,N1*N6,O1*O6,P1*P6,Q1*Q6,R1*R6,S1*S6,T1*T6,U1*U6,V1*V6,W1*W6,X1*X6,Y1*Y6,Z1*Z6,AA1*AA6,AB1*AB6,AC1*AC6,AD1*AD6,AE1*AE6)</f>
        <v>28</v>
      </c>
      <c r="C34" s="1">
        <f>SUM(B31:B34)</f>
        <v>70</v>
      </c>
      <c r="D34" s="14">
        <f>C34/B57</f>
        <v>0.05</v>
      </c>
      <c r="E34" s="14">
        <f>D34*H48</f>
        <v>0.019</v>
      </c>
    </row>
    <row r="35">
      <c r="A35" s="6">
        <v>45566.0</v>
      </c>
      <c r="B35" s="1">
        <f>SUM(B1*B7,C1*C7,D1*D7,E1*E7,F1*F7,G1*G7,I1*I7,J1*J7,K1*K7,L1*L7,M1*M7,N1*N7,O1*O7,P1*P7,Q1*Q7,R1*R7,S1*S7,T1*T7,U1*U7,V1*V7,W1*W7,X1*X7,Y1*Y7,Z1*Z7,AA1*AA7,H7*H1,AB7*AE7*AE1,AC1*AC7,AD1*AD7)</f>
        <v>11</v>
      </c>
      <c r="C35" s="1">
        <f>SUM(B31:B35)</f>
        <v>81</v>
      </c>
      <c r="D35" s="14">
        <f>C35/B57</f>
        <v>0.05785714286</v>
      </c>
      <c r="E35" s="14">
        <f>D35*H48</f>
        <v>0.02198571429</v>
      </c>
    </row>
    <row r="36">
      <c r="A36" s="6">
        <v>45572.0</v>
      </c>
      <c r="B36" s="1">
        <f>SUM(B1*B8,C1*C8,D1*D8,E1*E8,F1*F8,G1*G8,H1*H8,P8*P1,AB8*AB1,AE1*AE8,I1*I8,J1*J8,K1*K8,L1*L8,M1*M8,N1*N8,O1*O8,Q1*Q8,R1*R8,S1*S8,T1*T8,U1*U8,V1*V8,W1*W8,X1*X8,Y1*Y8,Z1*Z8,AA1*AA8,AC1*AC8,AD1*AD8)</f>
        <v>23</v>
      </c>
      <c r="C36" s="1">
        <f>SUM(B31:B36)</f>
        <v>104</v>
      </c>
      <c r="D36" s="14">
        <f>C36/B57</f>
        <v>0.07428571429</v>
      </c>
      <c r="E36" s="14">
        <f>D36*H48</f>
        <v>0.02822857143</v>
      </c>
    </row>
    <row r="37">
      <c r="A37" s="6">
        <v>45573.0</v>
      </c>
      <c r="B37" s="1">
        <f>SUM(B1*B9,C1*C9,D1*D9,E1*E9,F1*F9,G1*G9,H1*H9,P1*P9,I1*I9,J1*J9,K1*K9,L1*L9,M1*M9,N1*N9,O1*O9,Q1*Q9,R1*R9,S1*S9,T1*T9,U1*U9,V1*V9,W1*W9,X1*X9,Y1*Y9,Z1*Z9,AA1*AA9,AC1*AC9,AB9*AB1,AE1*AE9,AD1*AD9)</f>
        <v>21</v>
      </c>
      <c r="C37" s="1">
        <f>SUM(B31:B37)</f>
        <v>125</v>
      </c>
      <c r="D37" s="14">
        <f>C37/B57</f>
        <v>0.08928571429</v>
      </c>
      <c r="E37" s="14">
        <f>D37*H48</f>
        <v>0.03392857143</v>
      </c>
    </row>
    <row r="38">
      <c r="A38" s="6">
        <v>45575.0</v>
      </c>
      <c r="B38" s="1">
        <f>SUM(B1*B10,C1*C10,D1*D10,E1*E10,F1*F10,G1*G10,H1*H10,P10*P1,AB10*AB1,AE10*AE1,I1*I10,J1*J10,K1*K10,L1*L10,M1*M10,N1*N10,O1*O10,Q1*Q10,R1*R10,S1*S10,T1*T10,U1*U10,V1*V10,W1*W10,X1*X10,Y1*Y10,Z1*Z10,AA1*AA10,AC1*AC10,AD1*AD10)</f>
        <v>31</v>
      </c>
      <c r="C38" s="1">
        <f>SUM(B31:B38)</f>
        <v>156</v>
      </c>
      <c r="D38" s="14">
        <f>C38/B57</f>
        <v>0.1114285714</v>
      </c>
      <c r="E38" s="14">
        <f>D38*H48</f>
        <v>0.04234285714</v>
      </c>
    </row>
    <row r="39">
      <c r="A39" s="6">
        <v>45579.0</v>
      </c>
      <c r="B39" s="1">
        <f>SUM(B1*B11,C1*C11,D1*D11,E1*E11,F1*F11,G1*G11,H1*H11,P11*P1,AB11*AB1,AE11*AE1,I1*I11,J1*J11,K1*K11,L1*L11,M1*M11,N1*N11,O1*O11,Q1*Q11,R1*R11,S1*S11,T1*T11,U1*U11,V1*V11,W1*W11,X1*X11,Y1*Y11,Z1*Z11,AA1*AA11,AC1*AC11,AD1*AD11)</f>
        <v>30.5</v>
      </c>
      <c r="C39" s="1">
        <f>SUM(B31:B39)</f>
        <v>186.5</v>
      </c>
      <c r="D39" s="14">
        <f>C39/B57</f>
        <v>0.1332142857</v>
      </c>
      <c r="E39" s="14">
        <f>D39*H48</f>
        <v>0.05062142857</v>
      </c>
    </row>
    <row r="40">
      <c r="A40" s="6">
        <v>45580.0</v>
      </c>
      <c r="B40" s="1">
        <f>SUM(B1*B12,C1*C12,D1*D12,E1*E12,F1*F12,G1*G12,H1*H12,P12*P1,AB12*AB1,AE12*AE1,I1*I12,J1*J12,K1*K12,L1*L12,M1*M12,N1*N12,O1*O12,Q1*Q12,R1*R12,S1*S12,T1*T12,U1*U12,V1*V12,W1*W12,X1*X12,Y1*Y12,Z1*Z12,AA1*AA12,AC1*AC12,AD1*AD12)</f>
        <v>57</v>
      </c>
      <c r="C40" s="1">
        <f>SUM(B31:B40)</f>
        <v>243.5</v>
      </c>
      <c r="D40" s="14">
        <f>C40/B57</f>
        <v>0.1739285714</v>
      </c>
      <c r="E40" s="14">
        <f>D40*H48</f>
        <v>0.06609285714</v>
      </c>
    </row>
    <row r="41">
      <c r="A41" s="6">
        <v>45586.0</v>
      </c>
      <c r="B41" s="1">
        <f>SUM(B1*B13,C1*C13,D1*D13,E1*E13,F1*F13,G1*G13,H1*H13,P1*P13,,AB13*AB1,AE1*AE13,I1*I13,J1*J13,K1*K13,L1*L13,M1*M13,N1*N13,O1*O13,Q1*Q13,R1*R13,S1*S13,T1*T13,U1*U13,V1*V13,W1*W13,X1*X13,Y1*Y13,Z1*Z13,AA1*AA13,AC1*AC13,AD1*AD13)</f>
        <v>21</v>
      </c>
      <c r="C41" s="1">
        <f>SUM(B31:B41)</f>
        <v>264.5</v>
      </c>
      <c r="D41" s="14">
        <f>C41/B57</f>
        <v>0.1889285714</v>
      </c>
      <c r="E41" s="14">
        <f>D41*H48</f>
        <v>0.07179285714</v>
      </c>
    </row>
    <row r="42">
      <c r="A42" s="6">
        <v>45587.0</v>
      </c>
      <c r="B42" s="1">
        <f>SUM(B1*B14,C1*C14,D1*D14,E1*E14,F1*F14,G1*G14,H1*H14,P14*P1,AB14*AB1,AE14*AE1,I1*I14,J1*J14,K1*K14,L1*L14,M1*M14,N1*N14,O1*O14,Q1*Q14,R1*R14,S1*S14,T1*T14,U1*U14,V1*V14,W1*W14,X1*X14,Y1*Y14,Z1*Z14,AA1*AA14,AC1*AC14,AD1*AD14)</f>
        <v>69</v>
      </c>
      <c r="C42" s="1">
        <f>SUM(B31:B42)</f>
        <v>333.5</v>
      </c>
      <c r="D42" s="14">
        <f>C42/B57</f>
        <v>0.2382142857</v>
      </c>
      <c r="E42" s="14">
        <f>D42*H48</f>
        <v>0.09052142857</v>
      </c>
    </row>
    <row r="43">
      <c r="A43" s="6">
        <v>45614.0</v>
      </c>
      <c r="B43" s="1">
        <f>SUM(B1*B15,C1*C15,D1*D15,E1*E15,F1*F15,G1*G15,H1*H15,P15*P1,AB15*AB1,AE15*AE1,I1*I15,J1*J15,K1*K15,L1*L15,M1*M15,N1*N15,O1*O15,Q1*Q15,R1*R15,S1*S15,T1*T15,U1*U15,V1*V15,W1*W15,X1*X15,Y1*Y15,Z1*Z15,AA1*AA15,AC1*AC15,AD1*AD15)</f>
        <v>105</v>
      </c>
      <c r="C43" s="1">
        <f>SUM(B31:B43)</f>
        <v>438.5</v>
      </c>
      <c r="D43" s="14">
        <f>C43/B57</f>
        <v>0.3132142857</v>
      </c>
      <c r="E43" s="14">
        <f>D43*H48</f>
        <v>0.1190214286</v>
      </c>
    </row>
    <row r="44">
      <c r="A44" s="6">
        <v>45615.0</v>
      </c>
      <c r="B44" s="1">
        <f>SUM(B1*B16,C1*C16,D1*D16,E1*E16,F1*F16,G1*G16,H1*H16,P16*P1,AB16*AB1,AE16*AE1,I1*I16,J1*J16,K1*K16,L1*L16,M1*M16,N1*N16,O1*O16,Q1*Q16,R1*R16,S1*S16,T1*T16,U1*U16,V1*V16,W1*W16,X1*X16,Y1*Y16,Z1*Z16,AA1*AA16,AC1*AC16,AD1*AD16)</f>
        <v>86.5</v>
      </c>
      <c r="C44" s="1">
        <f>SUM(B31:B44)</f>
        <v>525</v>
      </c>
      <c r="D44" s="14">
        <f>C44/B57</f>
        <v>0.375</v>
      </c>
      <c r="E44" s="14">
        <f>D44*H48</f>
        <v>0.1425</v>
      </c>
    </row>
    <row r="45">
      <c r="A45" s="6">
        <v>45621.0</v>
      </c>
      <c r="B45" s="1">
        <f>SUM(B1*B17,C1*C17,D1*D17,E1*E17,F1*F17,G1*G17,H1*H17,P17*P1,AB17*AB1,AE17*AE1,I1*I17,J1*J17,K1*K17,L1*L17,M1*M17,N1*N17,O1*O17,Q1*Q17,R1*R17,S1*S17,T1*T17,U1*U17,V1*V17,W1*W17,X1*X17,Y1*Y17,Z1*Z17,AA1*AA17,AC1*AC17,AD1*AD17)</f>
        <v>106</v>
      </c>
      <c r="C45" s="1">
        <f>SUM(B31:B45)</f>
        <v>631</v>
      </c>
      <c r="D45" s="14">
        <f>C45/B57</f>
        <v>0.4507142857</v>
      </c>
      <c r="E45" s="14">
        <f>D45*H48</f>
        <v>0.1712714286</v>
      </c>
    </row>
    <row r="46">
      <c r="A46" s="6">
        <v>45622.0</v>
      </c>
      <c r="B46" s="1">
        <f>SUM(B1*B18,C1*C18,D1*D18,E1*E18,F1*F18,G1*G18,H1*H18,P18*P1,AB18*AB1,AE18*AE1,I1*I18,J1*J18,K1*K18,L1*L18,M1*M18,N1*N18,O1*O18,Q1*Q18,R1*R18,S1*S18,T1*T18,U1*U18,V1*V18,W1*W18,X1*X18,Y1*Y18,Z1*Z18,AA1*AA18,AC1*AC18,AD1*AD18)</f>
        <v>74.5</v>
      </c>
      <c r="C46" s="1">
        <f>SUM(B31:B46)</f>
        <v>705.5</v>
      </c>
      <c r="D46" s="14">
        <f>C46/B57</f>
        <v>0.5039285714</v>
      </c>
      <c r="E46" s="14">
        <f>D46*H48</f>
        <v>0.1914928571</v>
      </c>
    </row>
    <row r="47">
      <c r="A47" s="6">
        <v>45628.0</v>
      </c>
      <c r="B47" s="1">
        <f>SUM(B1*B19,C1*C19,D1*D19,E1*E19,F1*F19,G1*G19,H1*H19,P19*P1,AB19*AB1,AE19*AE1,I1*I19,J1*J19,K1*K19,L1*L19,M1*M19,N1*N19,O1*O19,Q1*Q19,R1*R19,S1*S19,T1*T19,U1*U19,V1*V19,W1*W19,X1*X19,Y1*Y19,Z1*Z19,AA1*AA19,AC1*AC19,AD1*AD19)</f>
        <v>84.5</v>
      </c>
      <c r="C47" s="1">
        <f>SUM(B31:B47)</f>
        <v>790</v>
      </c>
      <c r="D47" s="14">
        <f>C47/B57</f>
        <v>0.5642857143</v>
      </c>
      <c r="E47" s="14">
        <f>D47*H48</f>
        <v>0.2144285714</v>
      </c>
    </row>
    <row r="48">
      <c r="A48" s="6">
        <v>45629.0</v>
      </c>
      <c r="B48" s="1">
        <f>SUM(B1*B20,C1*C20,D1*D20,E1*E20,F1*F20,G1*G20,H1*H20,P20*P1,AB20*AB1,AE20*AE1,I1*I20,J1*J20,K1*K20,L1*L20,M1*M20,N1*N20,O1*O20,Q1*Q20,R1*R20,S1*S20,T1*T20,U1*U20,V1*V20,W1*W20,X1*X20,Y1*Y20,Z1*Z20,AA1*AA20,AC1*AC20,AD1*AD20)</f>
        <v>72</v>
      </c>
      <c r="C48" s="1">
        <f>SUM(B31:B48)</f>
        <v>862</v>
      </c>
      <c r="D48" s="14">
        <f>C48/B57</f>
        <v>0.6157142857</v>
      </c>
      <c r="E48" s="14">
        <f>D48*H48</f>
        <v>0.2339714286</v>
      </c>
      <c r="G48" s="9" t="s">
        <v>36</v>
      </c>
      <c r="H48" s="15">
        <v>0.38</v>
      </c>
    </row>
    <row r="49">
      <c r="A49" s="6">
        <v>45635.0</v>
      </c>
      <c r="B49" s="1">
        <f>SUM(B1*B21,C1*C21,D1*D21,E1*E21,F1*F21,G1*G21,H1*H21,P21*P1,AB21*AB1,AE21*AE1,I1*I21,J1*J21,K1*K21,L1*L21,M1*M21,N1*N21,O1*O21,Q1*Q21,R1*R21,S1*S21,T1*T21,U1*U21,V1*V21,W1*W21,X1*X21,Y1*Y21,Z1*Z21,AA1*AA21,AC1*AC21,AD1*AD21)</f>
        <v>91</v>
      </c>
      <c r="C49" s="1">
        <f>SUM(B31:B49)</f>
        <v>953</v>
      </c>
      <c r="D49" s="14">
        <f>C49/B57</f>
        <v>0.6807142857</v>
      </c>
      <c r="E49" s="14">
        <f>D49*H48</f>
        <v>0.2586714286</v>
      </c>
    </row>
    <row r="50">
      <c r="A50" s="6">
        <v>45636.0</v>
      </c>
      <c r="B50" s="1">
        <f>SUM(B1*B22,C1*C22,D1*D22,E1*E22,F1*F22,G1*G22,H1*H22,P22*P1,AB22*AB1,AE22*AE1,I1*I22,J1*J22,K1*K22,L1*L22,M1*M22,N1*N22,O1*O22,Q1*Q22,R1*R22,S1*S22,T1*T22,U1*U22,V1*V22,W1*W22,X1*X22,Y1*Y22,Z1*Z22,AA1*AA22,AC1*AC22,AD1*AD22)</f>
        <v>59.5</v>
      </c>
      <c r="C50" s="1">
        <f>SUM(B31:B50)</f>
        <v>1012.5</v>
      </c>
      <c r="D50" s="14">
        <f>C50/B57</f>
        <v>0.7232142857</v>
      </c>
      <c r="E50" s="14">
        <f>D50*H48</f>
        <v>0.2748214286</v>
      </c>
    </row>
    <row r="51">
      <c r="A51" s="6">
        <v>45642.0</v>
      </c>
      <c r="B51" s="1">
        <f>SUM(B1*B23,C1*C23,D1*D23,E1*E23,F1*F23,G1*G23,H1*H23,P23*P1,AB23*AB1,AE23*AE1,I1*I23,J1*J23,K1*K23,L1*L23,M1*M23,N1*N23,O1*O23,Q1*Q23,R1*R23,S1*S23,T1*T23,U1*U23,V1*V23,W1*W23,X1*X23,Y1*Y23,Z1*Z23,AA1*AA23,AC1*AC23,AD1*AD23)</f>
        <v>83.5</v>
      </c>
      <c r="C51" s="1">
        <f>SUM(B31:B51)</f>
        <v>1096</v>
      </c>
      <c r="D51" s="14">
        <f>C51/B57</f>
        <v>0.7828571429</v>
      </c>
      <c r="E51" s="14">
        <f>D51*H48</f>
        <v>0.2974857143</v>
      </c>
    </row>
    <row r="52">
      <c r="A52" s="6">
        <v>45643.0</v>
      </c>
      <c r="B52" s="1">
        <f>SUM(B1*B24,C1*C24,D1*D24,E1*E24,F1*F24,G1*G24,H1*H24,P24*P1,AB24*AB1,AE24*AE1,I1*I24,J1*J24,K1*K24,L1*L24,M1*M24,N1*N24,O1*O24,Q1*Q24,R1*R24,S1*S24,T1*T24,U1*U24,V1*V24,W1*W24,X1*X24,Y1*Y24,Z1*Z24,AA1*AA24,AC1*AC24,AD1*AD24)</f>
        <v>41</v>
      </c>
      <c r="C52" s="1">
        <f>SUM(B31:B52)</f>
        <v>1137</v>
      </c>
      <c r="D52" s="14">
        <f>C52/B57</f>
        <v>0.8121428571</v>
      </c>
      <c r="E52" s="14">
        <f>D52*H48</f>
        <v>0.3086142857</v>
      </c>
    </row>
    <row r="53">
      <c r="A53" s="6">
        <v>45663.0</v>
      </c>
      <c r="B53" s="1">
        <f>SUM(B1*B25,C1*C25,D1*D25,E1*E25,F1*F25,G1*G25,H1*H25,P25*P1,AB25*AB1,AE25*AE1,I1*I25,J1*J25,K1*K25,L1*L25,M1*M25,N1*N25,O1*O25,Q1*Q25,R1*R25,S1*S25,T1*T25,U1*U25,V1*V25,W1*W25,X1*X25,Y1*Y25,Z1*Z25,AA1*AA25,AC1*AC25,AD1*AD25)</f>
        <v>105.5</v>
      </c>
      <c r="C53" s="1">
        <f>SUM(B31:B53)</f>
        <v>1242.5</v>
      </c>
      <c r="D53" s="14">
        <f>C53/B57</f>
        <v>0.8875</v>
      </c>
      <c r="E53" s="14">
        <f>D53*H48</f>
        <v>0.33725</v>
      </c>
    </row>
    <row r="54">
      <c r="A54" s="6">
        <v>45664.0</v>
      </c>
      <c r="B54" s="1">
        <f>SUM(B1*B26,C1*C26,D1*D26,E1*E26,F1*F26,G1*G26,H1*H26,P26*P1,AB26*AB1,AE26*AE1,I1*I26,J1*J26,K1*K26,L1*L26,M1*M26,N1*N26,O1*O26,Q1*Q26,R1*R26,S1*S26,T1*T26,U1*U26,V1*V26,W1*W26,X1*X26,Y1*Y26,Z1*Z26,AA1*AA26,AC1*AC26,AD1*AD26)</f>
        <v>53.5</v>
      </c>
      <c r="C54" s="1">
        <f>SUM(B31:B54)</f>
        <v>1296</v>
      </c>
      <c r="D54" s="14">
        <f>C54/B57</f>
        <v>0.9257142857</v>
      </c>
      <c r="E54" s="14">
        <f>D54*H48</f>
        <v>0.3517714286</v>
      </c>
    </row>
    <row r="55">
      <c r="A55" s="10">
        <v>45304.0</v>
      </c>
      <c r="B55" s="1">
        <f>SUM(B1*B27,C1*C27,D1*D27,E1*E27,F1*F27,G1*G27,H1*H27,P27*P1,AB27*AB1,AE27*AE1,I1*I27,J1*J27,K1*K27,L1*L27,M1*M27,N1*N27,O1*O27,Q1*Q27,R1*R27,S1*S27,T1*T27,U1*U27,V1*V27,W1*W27,X1*X27,Y1*Y27,Z1*Z27,AA1*AA27,AC1*AC27,AD1*AD27)</f>
        <v>38</v>
      </c>
      <c r="C55" s="1">
        <f>SUM(B31:B55)</f>
        <v>1334</v>
      </c>
      <c r="D55" s="14">
        <f>C55/B57</f>
        <v>0.9528571429</v>
      </c>
      <c r="E55" s="14">
        <f>D55*H48</f>
        <v>0.3620857143</v>
      </c>
    </row>
    <row r="56">
      <c r="A56" s="10">
        <v>45305.0</v>
      </c>
      <c r="B56" s="1">
        <f>SUM(B1*B28,C1*C28,D1*D28,E1*E28,F1*F28,G1*G28,H1*H28,P28*P1,AB28*AB1,AE28*AE1,I1*I28,J1*J28,K1*K28,L1*L28,M1*M28,N1*N28,O1*O28,Q1*Q28,R1*R28,S1*S28,T1*T28,U1*U28,V1*V28,W1*W28,X1*X28,Y1*Y28,Z1*Z28,AA1*AA28,AC1*AC28,AD1*AD28)</f>
        <v>66</v>
      </c>
      <c r="C56" s="1">
        <f>SUM(B31:B56)</f>
        <v>1400</v>
      </c>
      <c r="D56" s="14">
        <f>C56/B57</f>
        <v>1</v>
      </c>
      <c r="E56" s="14">
        <f>D56*H48</f>
        <v>0.38</v>
      </c>
    </row>
    <row r="57">
      <c r="A57" s="16" t="s">
        <v>37</v>
      </c>
      <c r="B57" s="7">
        <f>SUM(B31:B56)</f>
        <v>1400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0.13"/>
    <col customWidth="1" min="2" max="2" width="20.25"/>
    <col customWidth="1" min="3" max="3" width="10.25"/>
    <col customWidth="1" min="4" max="4" width="13.5"/>
    <col customWidth="1" min="5" max="5" width="11.13"/>
    <col customWidth="1" min="6" max="6" width="15.5"/>
    <col customWidth="1" min="7" max="7" width="18.88"/>
    <col customWidth="1" min="8" max="8" width="12.38"/>
    <col customWidth="1" min="9" max="9" width="8.38"/>
    <col customWidth="1" min="10" max="10" width="9.0"/>
    <col customWidth="1" min="11" max="12" width="9.63"/>
    <col customWidth="1" min="13" max="13" width="11.13"/>
    <col customWidth="1" min="14" max="14" width="13.75"/>
    <col customWidth="1" min="15" max="15" width="13.38"/>
    <col customWidth="1" min="16" max="16" width="13.13"/>
    <col customWidth="1" min="17" max="17" width="12.63"/>
    <col customWidth="1" min="18" max="18" width="11.88"/>
    <col customWidth="1" min="19" max="19" width="11.63"/>
    <col customWidth="1" min="20" max="20" width="9.25"/>
    <col customWidth="1" min="21" max="21" width="9.0"/>
    <col customWidth="1" min="22" max="22" width="10.0"/>
    <col customWidth="1" min="23" max="23" width="6.88"/>
    <col customWidth="1" min="24" max="24" width="10.25"/>
    <col customWidth="1" min="25" max="25" width="11.75"/>
    <col customWidth="1" min="26" max="26" width="11.0"/>
    <col customWidth="1" min="27" max="27" width="8.0"/>
    <col customWidth="1" min="28" max="28" width="8.63"/>
    <col customWidth="1" min="29" max="29" width="11.88"/>
    <col customWidth="1" min="30" max="30" width="10.38"/>
    <col customWidth="1" min="31" max="31" width="10.13"/>
    <col customWidth="1" min="32" max="32" width="6.25"/>
  </cols>
  <sheetData>
    <row r="1">
      <c r="A1" s="1" t="s">
        <v>0</v>
      </c>
      <c r="B1" s="1">
        <v>3.0</v>
      </c>
      <c r="C1" s="1">
        <v>1.0</v>
      </c>
      <c r="D1" s="1">
        <v>1.0</v>
      </c>
      <c r="E1" s="1">
        <v>2.0</v>
      </c>
      <c r="F1" s="1">
        <v>2.0</v>
      </c>
      <c r="G1" s="2">
        <v>1.0</v>
      </c>
      <c r="H1" s="2">
        <v>3.0</v>
      </c>
      <c r="I1" s="3">
        <v>3.0</v>
      </c>
      <c r="J1" s="3">
        <v>7.0</v>
      </c>
      <c r="K1" s="3">
        <v>8.0</v>
      </c>
      <c r="L1" s="3">
        <v>8.0</v>
      </c>
      <c r="M1" s="3">
        <v>6.0</v>
      </c>
      <c r="N1" s="3">
        <v>3.0</v>
      </c>
      <c r="O1" s="3">
        <v>6.0</v>
      </c>
      <c r="P1" s="3">
        <v>7.0</v>
      </c>
      <c r="Q1" s="3">
        <v>4.0</v>
      </c>
      <c r="R1" s="3">
        <v>6.0</v>
      </c>
      <c r="S1" s="3">
        <v>7.0</v>
      </c>
      <c r="T1" s="3">
        <v>1.0</v>
      </c>
      <c r="U1" s="3">
        <v>4.0</v>
      </c>
      <c r="V1" s="3">
        <v>1.0</v>
      </c>
      <c r="W1" s="3">
        <v>3.0</v>
      </c>
      <c r="X1" s="3">
        <v>4.0</v>
      </c>
      <c r="Y1" s="3">
        <v>6.0</v>
      </c>
      <c r="Z1" s="3">
        <v>1.0</v>
      </c>
      <c r="AA1" s="3">
        <v>1.0</v>
      </c>
      <c r="AB1" s="3"/>
      <c r="AC1" s="3"/>
      <c r="AD1" s="3"/>
      <c r="AE1" s="3"/>
      <c r="AF1" s="4">
        <f>SUM(B1:AE1)</f>
        <v>99</v>
      </c>
    </row>
    <row r="2">
      <c r="A2" s="1" t="s">
        <v>1</v>
      </c>
      <c r="B2" s="1" t="s">
        <v>38</v>
      </c>
      <c r="C2" s="1" t="s">
        <v>39</v>
      </c>
      <c r="D2" s="1" t="s">
        <v>25</v>
      </c>
      <c r="E2" s="1" t="s">
        <v>40</v>
      </c>
      <c r="F2" s="1" t="s">
        <v>29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48</v>
      </c>
      <c r="O2" s="1" t="s">
        <v>49</v>
      </c>
      <c r="P2" s="1" t="s">
        <v>50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56</v>
      </c>
      <c r="W2" s="1" t="s">
        <v>57</v>
      </c>
      <c r="X2" s="1" t="s">
        <v>58</v>
      </c>
      <c r="Y2" s="1" t="s">
        <v>59</v>
      </c>
      <c r="Z2" s="17" t="s">
        <v>60</v>
      </c>
      <c r="AA2" s="1" t="s">
        <v>61</v>
      </c>
      <c r="AB2" s="1"/>
      <c r="AC2" s="1"/>
      <c r="AD2" s="1"/>
      <c r="AE2" s="1"/>
      <c r="AF2" s="1" t="s">
        <v>31</v>
      </c>
    </row>
    <row r="3">
      <c r="A3" s="10">
        <v>45677.0</v>
      </c>
      <c r="B3" s="1">
        <v>3.0</v>
      </c>
      <c r="C3" s="1">
        <v>3.0</v>
      </c>
      <c r="D3" s="1"/>
      <c r="E3" s="1">
        <v>2.0</v>
      </c>
      <c r="F3" s="1">
        <v>3.5</v>
      </c>
      <c r="G3" s="1">
        <v>2.0</v>
      </c>
      <c r="H3" s="2">
        <v>4.5</v>
      </c>
      <c r="AF3" s="7">
        <f t="shared" ref="AF3:AF28" si="1">SUM(B3:AE3)</f>
        <v>18</v>
      </c>
    </row>
    <row r="4">
      <c r="A4" s="10">
        <v>45712.0</v>
      </c>
      <c r="B4" s="1"/>
      <c r="C4" s="1"/>
      <c r="D4" s="1">
        <v>4.0</v>
      </c>
      <c r="E4" s="1"/>
      <c r="F4" s="1"/>
      <c r="G4" s="2"/>
      <c r="H4" s="8"/>
      <c r="J4" s="9">
        <v>4.0</v>
      </c>
      <c r="K4" s="9">
        <v>6.0</v>
      </c>
      <c r="O4" s="9">
        <v>4.0</v>
      </c>
      <c r="U4" s="9">
        <v>3.5</v>
      </c>
      <c r="X4" s="9">
        <v>4.0</v>
      </c>
      <c r="AF4" s="7">
        <f t="shared" si="1"/>
        <v>25.5</v>
      </c>
    </row>
    <row r="5">
      <c r="A5" s="10">
        <v>45713.0</v>
      </c>
      <c r="B5" s="1"/>
      <c r="C5" s="1"/>
      <c r="D5" s="1">
        <v>3.0</v>
      </c>
      <c r="E5" s="1"/>
      <c r="F5" s="1"/>
      <c r="G5" s="2"/>
      <c r="H5" s="8"/>
      <c r="O5" s="9">
        <v>4.5</v>
      </c>
      <c r="P5" s="9">
        <v>4.0</v>
      </c>
      <c r="R5" s="9">
        <v>3.0</v>
      </c>
      <c r="U5" s="9">
        <v>2.5</v>
      </c>
      <c r="X5" s="9">
        <v>3.0</v>
      </c>
      <c r="AF5" s="7">
        <f t="shared" si="1"/>
        <v>20</v>
      </c>
    </row>
    <row r="6">
      <c r="A6" s="10">
        <v>45719.0</v>
      </c>
      <c r="B6" s="1"/>
      <c r="C6" s="1"/>
      <c r="D6" s="1"/>
      <c r="E6" s="1"/>
      <c r="F6" s="1"/>
      <c r="G6" s="8"/>
      <c r="H6" s="8"/>
      <c r="K6" s="9">
        <v>2.0</v>
      </c>
      <c r="O6" s="9">
        <v>3.5</v>
      </c>
      <c r="P6" s="9">
        <v>5.5</v>
      </c>
      <c r="R6" s="9">
        <v>4.0</v>
      </c>
      <c r="S6" s="9">
        <v>3.5</v>
      </c>
      <c r="W6" s="9">
        <v>3.5</v>
      </c>
      <c r="X6" s="9">
        <v>4.0</v>
      </c>
      <c r="AF6" s="7">
        <f t="shared" si="1"/>
        <v>26</v>
      </c>
    </row>
    <row r="7">
      <c r="A7" s="10">
        <v>45720.0</v>
      </c>
      <c r="B7" s="1"/>
      <c r="C7" s="1"/>
      <c r="D7" s="1"/>
      <c r="E7" s="1"/>
      <c r="F7" s="1"/>
      <c r="G7" s="8"/>
      <c r="H7" s="8"/>
      <c r="K7" s="9">
        <v>2.5</v>
      </c>
      <c r="O7" s="9">
        <v>1.5</v>
      </c>
      <c r="P7" s="9">
        <v>2.5</v>
      </c>
      <c r="R7" s="9">
        <v>4.0</v>
      </c>
      <c r="S7" s="9">
        <v>3.0</v>
      </c>
      <c r="W7" s="9">
        <v>3.0</v>
      </c>
      <c r="X7" s="9">
        <v>3.0</v>
      </c>
      <c r="AF7" s="7">
        <f t="shared" si="1"/>
        <v>19.5</v>
      </c>
    </row>
    <row r="8">
      <c r="A8" s="10">
        <v>45726.0</v>
      </c>
      <c r="B8" s="1"/>
      <c r="C8" s="1"/>
      <c r="D8" s="1"/>
      <c r="E8" s="1"/>
      <c r="F8" s="1"/>
      <c r="G8" s="8"/>
      <c r="H8" s="8"/>
      <c r="I8" s="9">
        <v>2.5</v>
      </c>
      <c r="P8" s="9">
        <v>7.25</v>
      </c>
      <c r="R8" s="9">
        <v>3.0</v>
      </c>
      <c r="S8" s="9">
        <v>3.5</v>
      </c>
      <c r="Y8" s="9">
        <v>3.0</v>
      </c>
      <c r="AF8" s="7">
        <f t="shared" si="1"/>
        <v>19.25</v>
      </c>
    </row>
    <row r="9">
      <c r="A9" s="10">
        <v>45727.0</v>
      </c>
      <c r="B9" s="1"/>
      <c r="C9" s="1"/>
      <c r="D9" s="1"/>
      <c r="E9" s="1"/>
      <c r="F9" s="1"/>
      <c r="G9" s="8"/>
      <c r="H9" s="8"/>
      <c r="K9" s="9">
        <v>3.0</v>
      </c>
      <c r="O9" s="9">
        <v>2.0</v>
      </c>
      <c r="P9" s="9">
        <v>2.5</v>
      </c>
      <c r="R9" s="9">
        <v>4.0</v>
      </c>
      <c r="S9" s="9">
        <v>3.0</v>
      </c>
      <c r="T9" s="9">
        <v>3.5</v>
      </c>
      <c r="Y9" s="9">
        <v>3.0</v>
      </c>
      <c r="AF9" s="7">
        <f t="shared" si="1"/>
        <v>21</v>
      </c>
    </row>
    <row r="10">
      <c r="A10" s="10">
        <v>45733.0</v>
      </c>
      <c r="B10" s="1"/>
      <c r="C10" s="1"/>
      <c r="D10" s="1">
        <v>2.0</v>
      </c>
      <c r="E10" s="1"/>
      <c r="F10" s="1"/>
      <c r="G10" s="8"/>
      <c r="H10" s="8"/>
      <c r="L10" s="9">
        <v>2.5</v>
      </c>
      <c r="M10" s="9">
        <v>2.0</v>
      </c>
      <c r="O10" s="9">
        <v>3.0</v>
      </c>
      <c r="P10" s="9">
        <v>3.6</v>
      </c>
      <c r="R10" s="9">
        <v>4.0</v>
      </c>
      <c r="S10" s="9">
        <v>3.0</v>
      </c>
      <c r="Y10" s="9">
        <v>3.0</v>
      </c>
      <c r="AF10" s="7">
        <f t="shared" si="1"/>
        <v>23.1</v>
      </c>
    </row>
    <row r="11">
      <c r="A11" s="10">
        <v>45734.0</v>
      </c>
      <c r="B11" s="1"/>
      <c r="C11" s="1"/>
      <c r="D11" s="1"/>
      <c r="E11" s="1"/>
      <c r="F11" s="1"/>
      <c r="G11" s="8"/>
      <c r="H11" s="8"/>
      <c r="K11" s="9">
        <v>2.5</v>
      </c>
      <c r="O11" s="9">
        <v>2.0</v>
      </c>
      <c r="P11" s="9">
        <v>2.5</v>
      </c>
      <c r="R11" s="9">
        <v>3.0</v>
      </c>
      <c r="S11" s="9">
        <v>2.5</v>
      </c>
      <c r="U11" s="9">
        <v>2.5</v>
      </c>
      <c r="X11" s="9">
        <v>3.0</v>
      </c>
      <c r="AF11" s="7">
        <f t="shared" si="1"/>
        <v>18</v>
      </c>
    </row>
    <row r="12">
      <c r="A12" s="10">
        <v>45740.0</v>
      </c>
      <c r="B12" s="1"/>
      <c r="C12" s="1"/>
      <c r="D12" s="1">
        <v>1.5</v>
      </c>
      <c r="E12" s="1"/>
      <c r="F12" s="1"/>
      <c r="G12" s="8"/>
      <c r="H12" s="2"/>
      <c r="I12" s="9">
        <v>0.5</v>
      </c>
      <c r="M12" s="9">
        <v>2.0</v>
      </c>
      <c r="O12" s="9">
        <v>2.5</v>
      </c>
      <c r="P12" s="9">
        <v>3.5</v>
      </c>
      <c r="R12" s="9">
        <v>3.5</v>
      </c>
      <c r="S12" s="9">
        <v>3.5</v>
      </c>
      <c r="X12" s="9">
        <v>2.0</v>
      </c>
      <c r="AF12" s="7">
        <f t="shared" si="1"/>
        <v>19</v>
      </c>
    </row>
    <row r="13">
      <c r="A13" s="10">
        <v>45741.0</v>
      </c>
      <c r="B13" s="1"/>
      <c r="C13" s="1"/>
      <c r="D13" s="1"/>
      <c r="E13" s="1"/>
      <c r="F13" s="1"/>
      <c r="G13" s="2"/>
      <c r="H13" s="8"/>
      <c r="O13" s="9">
        <v>2.25</v>
      </c>
      <c r="P13" s="9">
        <v>2.5</v>
      </c>
      <c r="Q13" s="9">
        <v>3.0</v>
      </c>
      <c r="R13" s="9">
        <v>4.0</v>
      </c>
      <c r="S13" s="9">
        <v>4.0</v>
      </c>
      <c r="T13" s="9">
        <v>2.5</v>
      </c>
      <c r="X13" s="9">
        <v>3.0</v>
      </c>
      <c r="AF13" s="7">
        <f t="shared" si="1"/>
        <v>21.25</v>
      </c>
    </row>
    <row r="14">
      <c r="A14" s="10">
        <v>45743.0</v>
      </c>
      <c r="B14" s="1"/>
      <c r="C14" s="1"/>
      <c r="D14" s="1"/>
      <c r="E14" s="1"/>
      <c r="F14" s="1"/>
      <c r="G14" s="2"/>
      <c r="H14" s="8"/>
      <c r="N14" s="9">
        <v>3.0</v>
      </c>
      <c r="P14" s="9">
        <v>3.5</v>
      </c>
      <c r="R14" s="9">
        <v>4.0</v>
      </c>
      <c r="S14" s="9">
        <v>3.0</v>
      </c>
      <c r="T14" s="9">
        <v>4.0</v>
      </c>
      <c r="V14" s="9">
        <v>1.0</v>
      </c>
      <c r="Z14" s="9">
        <v>4.0</v>
      </c>
      <c r="AF14" s="7">
        <f t="shared" si="1"/>
        <v>22.5</v>
      </c>
    </row>
    <row r="15">
      <c r="A15" s="10">
        <v>45754.0</v>
      </c>
      <c r="B15" s="1"/>
      <c r="C15" s="1"/>
      <c r="D15" s="1"/>
      <c r="E15" s="1"/>
      <c r="F15" s="1"/>
      <c r="G15" s="8"/>
      <c r="H15" s="8"/>
      <c r="K15" s="9">
        <v>3.0</v>
      </c>
      <c r="P15" s="9">
        <v>3.0</v>
      </c>
      <c r="Q15" s="9">
        <v>4.0</v>
      </c>
      <c r="R15" s="9">
        <v>4.0</v>
      </c>
      <c r="S15" s="9">
        <v>4.0</v>
      </c>
      <c r="T15" s="9">
        <v>3.0</v>
      </c>
      <c r="AA15" s="9">
        <v>4.0</v>
      </c>
      <c r="AF15" s="7">
        <f t="shared" si="1"/>
        <v>25</v>
      </c>
    </row>
    <row r="16">
      <c r="A16" s="10">
        <v>45755.0</v>
      </c>
      <c r="B16" s="1"/>
      <c r="C16" s="1"/>
      <c r="D16" s="1"/>
      <c r="E16" s="1"/>
      <c r="F16" s="1"/>
      <c r="G16" s="8"/>
      <c r="H16" s="8"/>
      <c r="I16" s="9">
        <v>3.0</v>
      </c>
      <c r="P16" s="9">
        <v>1.75</v>
      </c>
      <c r="R16" s="9">
        <v>4.0</v>
      </c>
      <c r="S16" s="9">
        <v>4.0</v>
      </c>
      <c r="V16" s="9">
        <v>2.5</v>
      </c>
      <c r="W16" s="9">
        <v>3.0</v>
      </c>
      <c r="AA16" s="9">
        <v>3.0</v>
      </c>
      <c r="AF16" s="7">
        <f t="shared" si="1"/>
        <v>21.25</v>
      </c>
    </row>
    <row r="17">
      <c r="A17" s="10">
        <v>45756.0</v>
      </c>
      <c r="B17" s="1"/>
      <c r="C17" s="1"/>
      <c r="D17" s="1"/>
      <c r="E17" s="1"/>
      <c r="F17" s="1"/>
      <c r="G17" s="8"/>
      <c r="H17" s="8"/>
      <c r="M17" s="9">
        <v>2.0</v>
      </c>
      <c r="P17" s="9">
        <v>3.0</v>
      </c>
      <c r="Q17" s="9">
        <v>2.0</v>
      </c>
      <c r="R17" s="9">
        <v>2.0</v>
      </c>
      <c r="S17" s="9">
        <v>3.0</v>
      </c>
      <c r="W17" s="9">
        <v>2.5</v>
      </c>
      <c r="AA17" s="9">
        <v>3.0</v>
      </c>
      <c r="AF17" s="7">
        <f t="shared" si="1"/>
        <v>17.5</v>
      </c>
    </row>
    <row r="18">
      <c r="A18" s="10">
        <v>45769.0</v>
      </c>
      <c r="B18" s="1"/>
      <c r="C18" s="1"/>
      <c r="D18" s="1"/>
      <c r="E18" s="1"/>
      <c r="F18" s="1"/>
      <c r="G18" s="8"/>
      <c r="H18" s="8"/>
      <c r="J18" s="9">
        <v>2.0</v>
      </c>
      <c r="N18" s="9">
        <v>2.5</v>
      </c>
      <c r="S18" s="9">
        <v>3.5</v>
      </c>
      <c r="T18" s="9">
        <v>2.5</v>
      </c>
      <c r="W18" s="9">
        <v>3.0</v>
      </c>
      <c r="AA18" s="9">
        <v>3.0</v>
      </c>
      <c r="AF18" s="7">
        <f t="shared" si="1"/>
        <v>16.5</v>
      </c>
    </row>
    <row r="19">
      <c r="A19" s="10">
        <v>45776.0</v>
      </c>
      <c r="B19" s="1"/>
      <c r="C19" s="1"/>
      <c r="D19" s="1"/>
      <c r="E19" s="1"/>
      <c r="F19" s="1"/>
      <c r="G19" s="8"/>
      <c r="H19" s="8"/>
      <c r="I19" s="9">
        <v>2.5</v>
      </c>
      <c r="J19" s="9">
        <v>3.0</v>
      </c>
      <c r="O19" s="9">
        <v>1.5</v>
      </c>
      <c r="S19" s="9">
        <v>4.0</v>
      </c>
      <c r="T19" s="9">
        <v>6.5</v>
      </c>
      <c r="AA19" s="9">
        <v>3.0</v>
      </c>
      <c r="AF19" s="7">
        <f t="shared" si="1"/>
        <v>20.5</v>
      </c>
    </row>
    <row r="20">
      <c r="A20" s="10">
        <v>45782.0</v>
      </c>
      <c r="B20" s="1"/>
      <c r="C20" s="1"/>
      <c r="D20" s="1"/>
      <c r="E20" s="1"/>
      <c r="F20" s="1"/>
      <c r="G20" s="8"/>
      <c r="H20" s="8"/>
      <c r="J20" s="9">
        <v>3.0</v>
      </c>
      <c r="P20" s="9">
        <v>3.5</v>
      </c>
      <c r="S20" s="9">
        <v>4.0</v>
      </c>
      <c r="T20" s="9">
        <v>2.0</v>
      </c>
      <c r="W20" s="9">
        <v>4.0</v>
      </c>
      <c r="AA20" s="9">
        <v>4.0</v>
      </c>
      <c r="AF20" s="7">
        <f t="shared" si="1"/>
        <v>20.5</v>
      </c>
    </row>
    <row r="21">
      <c r="A21" s="10">
        <v>45783.0</v>
      </c>
      <c r="B21" s="1"/>
      <c r="C21" s="1"/>
      <c r="D21" s="1">
        <v>2.0</v>
      </c>
      <c r="E21" s="1"/>
      <c r="F21" s="1"/>
      <c r="G21" s="8"/>
      <c r="H21" s="8"/>
      <c r="K21" s="9">
        <v>3.5</v>
      </c>
      <c r="S21" s="9">
        <v>5.0</v>
      </c>
      <c r="T21" s="9">
        <v>2.5</v>
      </c>
      <c r="W21" s="9">
        <v>3.5</v>
      </c>
      <c r="AA21" s="9">
        <v>3.0</v>
      </c>
      <c r="AF21" s="7">
        <f t="shared" si="1"/>
        <v>19.5</v>
      </c>
    </row>
    <row r="22">
      <c r="A22" s="10">
        <v>45790.0</v>
      </c>
      <c r="B22" s="1"/>
      <c r="C22" s="1"/>
      <c r="D22" s="1"/>
      <c r="E22" s="1"/>
      <c r="F22" s="1"/>
      <c r="G22" s="8"/>
      <c r="H22" s="8"/>
      <c r="I22" s="9">
        <v>2.0</v>
      </c>
      <c r="P22" s="9">
        <v>2.0</v>
      </c>
      <c r="S22" s="9">
        <v>7.0</v>
      </c>
      <c r="W22" s="9">
        <v>7.0</v>
      </c>
      <c r="AA22" s="9">
        <v>3.0</v>
      </c>
      <c r="AF22" s="7">
        <f t="shared" si="1"/>
        <v>21</v>
      </c>
    </row>
    <row r="23">
      <c r="A23" s="10">
        <v>45796.0</v>
      </c>
      <c r="B23" s="1"/>
      <c r="C23" s="1"/>
      <c r="D23" s="1"/>
      <c r="E23" s="1"/>
      <c r="F23" s="1"/>
      <c r="G23" s="8"/>
      <c r="H23" s="8"/>
      <c r="Q23" s="9">
        <v>3.0</v>
      </c>
      <c r="S23" s="9">
        <v>12.0</v>
      </c>
      <c r="AA23" s="9">
        <v>3.5</v>
      </c>
      <c r="AF23" s="7">
        <f t="shared" si="1"/>
        <v>18.5</v>
      </c>
    </row>
    <row r="24">
      <c r="A24" s="10">
        <v>45797.0</v>
      </c>
      <c r="B24" s="1"/>
      <c r="C24" s="1"/>
      <c r="D24" s="1"/>
      <c r="E24" s="1"/>
      <c r="F24" s="1"/>
      <c r="P24" s="9">
        <v>2.5</v>
      </c>
      <c r="AF24" s="7">
        <f t="shared" si="1"/>
        <v>2.5</v>
      </c>
    </row>
    <row r="25">
      <c r="A25" s="10"/>
      <c r="B25" s="1"/>
      <c r="C25" s="1"/>
      <c r="D25" s="1"/>
      <c r="E25" s="1"/>
      <c r="F25" s="1"/>
      <c r="AF25" s="7">
        <f t="shared" si="1"/>
        <v>0</v>
      </c>
    </row>
    <row r="26">
      <c r="A26" s="10"/>
      <c r="B26" s="1"/>
      <c r="C26" s="1"/>
      <c r="D26" s="1"/>
      <c r="E26" s="1"/>
      <c r="F26" s="1"/>
      <c r="AF26" s="7">
        <f t="shared" si="1"/>
        <v>0</v>
      </c>
    </row>
    <row r="27">
      <c r="A27" s="10"/>
      <c r="B27" s="1"/>
      <c r="C27" s="1"/>
      <c r="D27" s="1"/>
      <c r="E27" s="1"/>
      <c r="F27" s="1"/>
      <c r="AF27" s="7">
        <f t="shared" si="1"/>
        <v>0</v>
      </c>
    </row>
    <row r="28">
      <c r="A28" s="10"/>
      <c r="B28" s="1"/>
      <c r="C28" s="1"/>
      <c r="D28" s="1"/>
      <c r="E28" s="1"/>
      <c r="F28" s="1"/>
      <c r="AF28" s="7">
        <f t="shared" si="1"/>
        <v>0</v>
      </c>
    </row>
    <row r="29">
      <c r="A29" s="11"/>
      <c r="B29" s="12"/>
      <c r="C29" s="12"/>
      <c r="D29" s="12"/>
      <c r="E29" s="12"/>
      <c r="F29" s="12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>
      <c r="A30" s="1" t="s">
        <v>1</v>
      </c>
      <c r="B30" s="1" t="s">
        <v>32</v>
      </c>
      <c r="C30" s="1" t="s">
        <v>33</v>
      </c>
      <c r="D30" s="1" t="s">
        <v>34</v>
      </c>
      <c r="E30" s="1" t="s">
        <v>62</v>
      </c>
      <c r="F30" s="1"/>
    </row>
    <row r="31">
      <c r="A31" s="18">
        <v>45545.0</v>
      </c>
      <c r="B31" s="1">
        <v>14.0</v>
      </c>
      <c r="C31" s="1">
        <v>14.0</v>
      </c>
      <c r="D31" s="14">
        <v>0.01</v>
      </c>
      <c r="E31" s="14">
        <v>0.0038</v>
      </c>
      <c r="F31" s="1"/>
    </row>
    <row r="32">
      <c r="A32" s="18">
        <v>45558.0</v>
      </c>
      <c r="B32" s="1">
        <v>14.0</v>
      </c>
      <c r="C32" s="1">
        <v>28.0</v>
      </c>
      <c r="D32" s="14">
        <v>0.02</v>
      </c>
      <c r="E32" s="14">
        <v>0.0076</v>
      </c>
      <c r="F32" s="1"/>
    </row>
    <row r="33">
      <c r="A33" s="18">
        <v>45559.0</v>
      </c>
      <c r="B33" s="1">
        <v>14.0</v>
      </c>
      <c r="C33" s="1">
        <v>42.0</v>
      </c>
      <c r="D33" s="14">
        <v>0.03</v>
      </c>
      <c r="E33" s="14">
        <v>0.0114</v>
      </c>
      <c r="F33" s="1"/>
    </row>
    <row r="34">
      <c r="A34" s="18">
        <v>45565.0</v>
      </c>
      <c r="B34" s="1">
        <v>28.0</v>
      </c>
      <c r="C34" s="1">
        <v>70.0</v>
      </c>
      <c r="D34" s="14">
        <v>0.05</v>
      </c>
      <c r="E34" s="14">
        <v>0.019000000000000003</v>
      </c>
      <c r="F34" s="1"/>
    </row>
    <row r="35">
      <c r="A35" s="18">
        <v>45566.0</v>
      </c>
      <c r="B35" s="1">
        <v>11.0</v>
      </c>
      <c r="C35" s="1">
        <v>81.0</v>
      </c>
      <c r="D35" s="14">
        <v>0.05785714285714286</v>
      </c>
      <c r="E35" s="14">
        <v>0.021985714285714286</v>
      </c>
      <c r="F35" s="1"/>
    </row>
    <row r="36">
      <c r="A36" s="18">
        <v>45572.0</v>
      </c>
      <c r="B36" s="1">
        <v>23.0</v>
      </c>
      <c r="C36" s="1">
        <v>104.0</v>
      </c>
      <c r="D36" s="14">
        <v>0.07428571428571429</v>
      </c>
      <c r="E36" s="14">
        <v>0.02822857142857143</v>
      </c>
      <c r="F36" s="1"/>
    </row>
    <row r="37">
      <c r="A37" s="18">
        <v>45573.0</v>
      </c>
      <c r="B37" s="1">
        <v>21.0</v>
      </c>
      <c r="C37" s="1">
        <v>125.0</v>
      </c>
      <c r="D37" s="14">
        <v>0.08928571428571429</v>
      </c>
      <c r="E37" s="14">
        <v>0.03392857142857143</v>
      </c>
      <c r="F37" s="1"/>
    </row>
    <row r="38">
      <c r="A38" s="18">
        <v>45575.0</v>
      </c>
      <c r="B38" s="1">
        <v>31.0</v>
      </c>
      <c r="C38" s="1">
        <v>156.0</v>
      </c>
      <c r="D38" s="14">
        <v>0.11142857142857143</v>
      </c>
      <c r="E38" s="14">
        <v>0.04234285714285715</v>
      </c>
      <c r="F38" s="1"/>
    </row>
    <row r="39">
      <c r="A39" s="18">
        <v>45579.0</v>
      </c>
      <c r="B39" s="1">
        <v>30.5</v>
      </c>
      <c r="C39" s="1">
        <v>186.5</v>
      </c>
      <c r="D39" s="14">
        <v>0.1332142857142857</v>
      </c>
      <c r="E39" s="14">
        <v>0.05062142857142857</v>
      </c>
      <c r="F39" s="1"/>
    </row>
    <row r="40">
      <c r="A40" s="18">
        <v>45580.0</v>
      </c>
      <c r="B40" s="1">
        <v>57.0</v>
      </c>
      <c r="C40" s="1">
        <v>243.5</v>
      </c>
      <c r="D40" s="14">
        <v>0.17392857142857143</v>
      </c>
      <c r="E40" s="14">
        <v>0.06609285714285715</v>
      </c>
      <c r="F40" s="1"/>
    </row>
    <row r="41">
      <c r="A41" s="18">
        <v>45586.0</v>
      </c>
      <c r="B41" s="1">
        <v>21.0</v>
      </c>
      <c r="C41" s="1">
        <v>264.5</v>
      </c>
      <c r="D41" s="14">
        <v>0.18892857142857142</v>
      </c>
      <c r="E41" s="14">
        <v>0.07179285714285714</v>
      </c>
      <c r="F41" s="1"/>
    </row>
    <row r="42">
      <c r="A42" s="18">
        <v>45587.0</v>
      </c>
      <c r="B42" s="1">
        <v>69.0</v>
      </c>
      <c r="C42" s="1">
        <v>333.5</v>
      </c>
      <c r="D42" s="14">
        <v>0.2382142857142857</v>
      </c>
      <c r="E42" s="14">
        <v>0.09052142857142857</v>
      </c>
      <c r="F42" s="1"/>
    </row>
    <row r="43">
      <c r="A43" s="18">
        <v>45614.0</v>
      </c>
      <c r="B43" s="1">
        <v>105.0</v>
      </c>
      <c r="C43" s="1">
        <v>438.5</v>
      </c>
      <c r="D43" s="14">
        <v>0.3132142857142857</v>
      </c>
      <c r="E43" s="14">
        <v>0.11902142857142857</v>
      </c>
      <c r="F43" s="1"/>
    </row>
    <row r="44">
      <c r="A44" s="18">
        <v>45615.0</v>
      </c>
      <c r="B44" s="1">
        <v>86.5</v>
      </c>
      <c r="C44" s="1">
        <v>525.0</v>
      </c>
      <c r="D44" s="14">
        <v>0.375</v>
      </c>
      <c r="E44" s="14">
        <v>0.14250000000000002</v>
      </c>
      <c r="F44" s="1"/>
    </row>
    <row r="45">
      <c r="A45" s="18">
        <v>45621.0</v>
      </c>
      <c r="B45" s="1">
        <v>106.0</v>
      </c>
      <c r="C45" s="1">
        <v>631.0</v>
      </c>
      <c r="D45" s="14">
        <v>0.45071428571428573</v>
      </c>
      <c r="E45" s="14">
        <v>0.17127142857142857</v>
      </c>
      <c r="F45" s="1"/>
    </row>
    <row r="46">
      <c r="A46" s="18">
        <v>45622.0</v>
      </c>
      <c r="B46" s="1">
        <v>74.5</v>
      </c>
      <c r="C46" s="1">
        <v>705.5</v>
      </c>
      <c r="D46" s="14">
        <v>0.5039285714285714</v>
      </c>
      <c r="E46" s="14">
        <v>0.19149285714285713</v>
      </c>
      <c r="F46" s="1"/>
    </row>
    <row r="47">
      <c r="A47" s="18">
        <v>45628.0</v>
      </c>
      <c r="B47" s="1">
        <v>84.5</v>
      </c>
      <c r="C47" s="1">
        <v>790.0</v>
      </c>
      <c r="D47" s="14">
        <v>0.5642857142857143</v>
      </c>
      <c r="E47" s="14">
        <v>0.21442857142857144</v>
      </c>
      <c r="F47" s="1"/>
    </row>
    <row r="48">
      <c r="A48" s="18">
        <v>45629.0</v>
      </c>
      <c r="B48" s="1">
        <v>72.0</v>
      </c>
      <c r="C48" s="1">
        <v>862.0</v>
      </c>
      <c r="D48" s="14">
        <v>0.6157142857142858</v>
      </c>
      <c r="E48" s="14">
        <v>0.2339714285714286</v>
      </c>
      <c r="F48" s="1"/>
    </row>
    <row r="49">
      <c r="A49" s="18">
        <v>45635.0</v>
      </c>
      <c r="B49" s="1">
        <v>91.0</v>
      </c>
      <c r="C49" s="1">
        <v>953.0</v>
      </c>
      <c r="D49" s="14">
        <v>0.6807142857142857</v>
      </c>
      <c r="E49" s="14">
        <v>0.25867142857142855</v>
      </c>
      <c r="F49" s="1"/>
    </row>
    <row r="50">
      <c r="A50" s="18">
        <v>45636.0</v>
      </c>
      <c r="B50" s="1">
        <v>59.5</v>
      </c>
      <c r="C50" s="1">
        <v>1012.5</v>
      </c>
      <c r="D50" s="14">
        <v>0.7232142857142857</v>
      </c>
      <c r="E50" s="14">
        <v>0.27482142857142855</v>
      </c>
      <c r="F50" s="1"/>
    </row>
    <row r="51">
      <c r="A51" s="18">
        <v>45642.0</v>
      </c>
      <c r="B51" s="1">
        <v>83.5</v>
      </c>
      <c r="C51" s="1">
        <v>1096.0</v>
      </c>
      <c r="D51" s="14">
        <v>0.7828571428571428</v>
      </c>
      <c r="E51" s="14">
        <v>0.2974857142857143</v>
      </c>
      <c r="F51" s="1"/>
    </row>
    <row r="52">
      <c r="A52" s="18">
        <v>45643.0</v>
      </c>
      <c r="B52" s="1">
        <v>41.0</v>
      </c>
      <c r="C52" s="1">
        <v>1137.0</v>
      </c>
      <c r="D52" s="14">
        <v>0.8121428571428572</v>
      </c>
      <c r="E52" s="14">
        <v>0.30861428571428573</v>
      </c>
      <c r="F52" s="1"/>
    </row>
    <row r="53">
      <c r="A53" s="18">
        <v>45663.0</v>
      </c>
      <c r="B53" s="1">
        <v>105.5</v>
      </c>
      <c r="C53" s="1">
        <v>1242.5</v>
      </c>
      <c r="D53" s="14">
        <v>0.8875</v>
      </c>
      <c r="E53" s="14">
        <v>0.33725</v>
      </c>
      <c r="F53" s="1"/>
    </row>
    <row r="54">
      <c r="A54" s="18">
        <v>45664.0</v>
      </c>
      <c r="B54" s="1">
        <v>53.5</v>
      </c>
      <c r="C54" s="1">
        <v>1296.0</v>
      </c>
      <c r="D54" s="14">
        <v>0.9257142857142857</v>
      </c>
      <c r="E54" s="14">
        <v>0.35177142857142857</v>
      </c>
      <c r="F54" s="1"/>
    </row>
    <row r="55">
      <c r="A55" s="18">
        <v>45304.0</v>
      </c>
      <c r="B55" s="1">
        <v>38.0</v>
      </c>
      <c r="C55" s="1">
        <v>1334.0</v>
      </c>
      <c r="D55" s="14">
        <v>0.9528571428571428</v>
      </c>
      <c r="E55" s="14">
        <v>0.3620857142857143</v>
      </c>
      <c r="F55" s="1"/>
    </row>
    <row r="56">
      <c r="A56" s="18">
        <v>45305.0</v>
      </c>
      <c r="B56" s="1">
        <v>66.0</v>
      </c>
      <c r="C56" s="1">
        <v>1400.0</v>
      </c>
      <c r="D56" s="14">
        <v>1.0</v>
      </c>
      <c r="E56" s="14">
        <v>0.38</v>
      </c>
      <c r="F56" s="1"/>
    </row>
    <row r="57">
      <c r="A57" s="10">
        <v>45677.0</v>
      </c>
      <c r="B57" s="1">
        <f>SUM(B1*B3,C1*C3,D1*D3,E1*E3,F1*F3,G1*G3,H1*H3,I1*I3,J1*J3,K1*K3,L1*L3,M1*M3,N1*N3,O1*O3,P3*P1,Q1*Q3,R1*R3,S1*S3,T1*T3,U1*U3,V1*V3,W1*W3,X1*X3,Y1*Y3,Z1*Z3,AA1*AA3,AB3*AB1,AC1*AC3,AD1*AD3,AE3*AE1)</f>
        <v>38.5</v>
      </c>
      <c r="C57" s="1">
        <f>SUM(B57)</f>
        <v>38.5</v>
      </c>
      <c r="D57" s="14">
        <f>C57/B83</f>
        <v>0.01803532112</v>
      </c>
      <c r="E57" s="14">
        <f>H73+D57*H74</f>
        <v>0.3911818991</v>
      </c>
      <c r="F57" s="14"/>
    </row>
    <row r="58">
      <c r="A58" s="10">
        <v>45712.0</v>
      </c>
      <c r="B58" s="1">
        <f>SUM(B1*B4,C1*C4,D1*D4,E1*E4,F1*F4,G1*G4,H1*H4,I1*I4,J1*J4,K1*K4,L1*L4,M1*M4,N1*N4,O1*O4,P4*P1,Q1*Q4,R1*R4,S1*S4,T1*T4,U1*U4,V1*V4,W1*W4,X1*X4,Y1*Y4,Z1*Z4,AA1*AA4,AB4*AB1,AC1*AC4,AD1*AD4,AE1*AE4)</f>
        <v>134</v>
      </c>
      <c r="C58" s="1">
        <f>SUM(B57:B58)</f>
        <v>172.5</v>
      </c>
      <c r="D58" s="14">
        <f>C58/B83</f>
        <v>0.08080760763</v>
      </c>
      <c r="E58" s="14">
        <f>H73+D58*H74</f>
        <v>0.4301007167</v>
      </c>
      <c r="F58" s="1"/>
    </row>
    <row r="59">
      <c r="A59" s="10">
        <v>45713.0</v>
      </c>
      <c r="B59" s="1">
        <f>SUM(B1*B5,C1*C5,D1*D5,E1*E5,F1*F5,G1*G5,H1*H5,I1*I5,J1*J5,K1*K5,L1*L5,M1*M5,N1*N5,O1*O5,P1*P5,Q1*Q5,R1*R5,S1*S5,T1*T5,U1*U5,V1*V5,W1*W5,X1*X5,Y1*Y5,Z1*Z5,AA1*AA5,AB1*AB5,AC1*AC5,AD1*AD5,AE5*AE1)</f>
        <v>98</v>
      </c>
      <c r="C59" s="1">
        <f>SUM(B57:B59)</f>
        <v>270.5</v>
      </c>
      <c r="D59" s="14">
        <f>C59/B83</f>
        <v>0.1267156978</v>
      </c>
      <c r="E59" s="14">
        <f>H73+D59*H74</f>
        <v>0.4585637326</v>
      </c>
    </row>
    <row r="60">
      <c r="A60" s="10">
        <v>45719.0</v>
      </c>
      <c r="B60" s="1">
        <f>SUM(B1*B6,C1*C6,D1*D6,E1*E6,F1*F6,G1*G6,H1*H6,I1*I6,J1*J6,K1*K6,L1*L6,M1*M6,N1*N6,O1*O6,P1*P6,Q1*Q6,R1*R6,S1*S6,T1*T6,U1*U6,V1*V6,W1*W6,X1*X6,Y1*Y6,Z1*Z6,AA1*AA6,AB1*AB6,AC1*AC6,AD1*AD6,AE1*AE6)</f>
        <v>150.5</v>
      </c>
      <c r="C60" s="1">
        <f>SUM(B57:B60)</f>
        <v>421</v>
      </c>
      <c r="D60" s="14">
        <f>C60/B83</f>
        <v>0.1972174076</v>
      </c>
      <c r="E60" s="14">
        <f>H73+D60*H74</f>
        <v>0.5022747927</v>
      </c>
    </row>
    <row r="61">
      <c r="A61" s="10">
        <v>45720.0</v>
      </c>
      <c r="B61" s="1">
        <f>SUM(B1*B7,C1*C7,D1*D7,E1*E7,F1*F7,G1*G7,I1*I7,J1*J7,K1*K7,L1*L7,M1*M7,N1*N7,O1*O7,P1*P7,Q1*Q7,R1*R7,S1*S7,T1*T7,U1*U7,V1*V7,W1*W7,X1*X7,Y1*Y7,Z1*Z7,AA1*AA7,H7*H1,AB7*AE7*AE1,AC1*AC7,AD1*AD7)</f>
        <v>112.5</v>
      </c>
      <c r="C61" s="1">
        <f>SUM(B57:B61)</f>
        <v>533.5</v>
      </c>
      <c r="D61" s="14">
        <f>C61/B83</f>
        <v>0.2499180213</v>
      </c>
      <c r="E61" s="14">
        <f>H73+D61*H74</f>
        <v>0.5349491732</v>
      </c>
    </row>
    <row r="62">
      <c r="A62" s="10">
        <v>45726.0</v>
      </c>
      <c r="B62" s="1">
        <f>SUM(B1*B8,C1*C8,D1*D8,E1*E8,F1*F8,G1*G8,H1*H8,P8*P1,AB8*AB1,AE1*AE8,I1*I8,J1*J8,K1*K8,L1*L8,M1*M8,N1*N8,O1*O8,Q1*Q8,R1*R8,S1*S8,T1*T8,U1*U8,V1*V8,W1*W8,X1*X8,Y1*Y8,Z1*Z8,AA1*AA8,AC1*AC8,AD1*AD8)</f>
        <v>118.75</v>
      </c>
      <c r="C62" s="1">
        <f>SUM(B57:B62)</f>
        <v>652.25</v>
      </c>
      <c r="D62" s="14">
        <f>C62/B83</f>
        <v>0.3055464468</v>
      </c>
      <c r="E62" s="14">
        <f>H73+D62*H74</f>
        <v>0.569438797</v>
      </c>
    </row>
    <row r="63">
      <c r="A63" s="10">
        <v>45727.0</v>
      </c>
      <c r="B63" s="1">
        <f>SUM(B1*B9,C1*C9,D1*D9,E1*E9,F1*F9,G1*G9,H1*H9,P1*P9,I1*I9,J1*J9,K1*K9,L1*L9,M1*M9,N1*N9,O1*O9,Q1*Q9,R1*R9,S1*S9,T1*T9,U1*U9,V1*V9,W1*W9,X1*X9,Y1*Y9,Z1*Z9,AA1*AA9,AC1*AC9,AB9*AB1,AE1*AE9,AD1*AD9)</f>
        <v>120</v>
      </c>
      <c r="C63" s="1">
        <f>SUM(B57:B63)</f>
        <v>772.25</v>
      </c>
      <c r="D63" s="14">
        <f>C63/B83</f>
        <v>0.3617604347</v>
      </c>
      <c r="E63" s="14">
        <f>H73+D63*H74</f>
        <v>0.6042914695</v>
      </c>
    </row>
    <row r="64">
      <c r="A64" s="10">
        <v>45733.0</v>
      </c>
      <c r="B64" s="1">
        <f>SUM(B1*B10,C1*C10,D1*D10,E1*E10,F1*F10,G1*G10,H1*H10,P10*P1,AB10*AB1,AE10*AE1,I1*I10,J1*J10,K1*K10,L1*L10,M1*M10,N1*N10,O1*O10,Q1*Q10,R1*R10,S1*S10,T1*T10,U1*U10,V1*V10,W1*W10,X1*X10,Y1*Y10,Z1*Z10,AA1*AA10,AC1*AC10,AD1*AD10)</f>
        <v>140.2</v>
      </c>
      <c r="C64" s="1">
        <f>SUM(B57:B64)</f>
        <v>912.45</v>
      </c>
      <c r="D64" s="14">
        <f>C64/B83</f>
        <v>0.4274371106</v>
      </c>
      <c r="E64" s="14">
        <f>H73+D64*H74</f>
        <v>0.6450110086</v>
      </c>
    </row>
    <row r="65">
      <c r="A65" s="10">
        <v>45734.0</v>
      </c>
      <c r="B65" s="1">
        <f>SUM(B1*B11,C1*C11,D1*D11,E1*E11,F1*F11,G1*G11,H1*H11,P11*P1,AB11*AB1,AE11*AE1,I1*I11,J1*J11,K1*K11,L1*L11,M1*M11,N1*N11,O1*O11,Q1*Q11,R1*R11,S1*S11,T1*T11,U1*U11,V1*V11,W1*W11,X1*X11,Y1*Y11,Z1*Z11,AA1*AA11,AC1*AC11,AD1*AD11)</f>
        <v>107</v>
      </c>
      <c r="C65" s="1">
        <f>SUM(B57:B65)</f>
        <v>1019.45</v>
      </c>
      <c r="D65" s="14">
        <f>C65/B83</f>
        <v>0.4775612498</v>
      </c>
      <c r="E65" s="14">
        <f>H73+D65*H74</f>
        <v>0.6760879749</v>
      </c>
    </row>
    <row r="66">
      <c r="A66" s="10">
        <v>45740.0</v>
      </c>
      <c r="B66" s="1">
        <f>SUM(B1*B12,C1*C12,D1*D12,E1*E12,F1*F12,G1*G12,H1*H12,P12*P1,AB12*AB1,AE12*AE1,I1*I12,J1*J12,K1*K12,L1*L12,M1*M12,N1*N12,O1*O12,Q1*Q12,R1*R12,S1*S12,T1*T12,U1*U12,V1*V12,W1*W12,X1*X12,Y1*Y12,Z1*Z12,AA1*AA12,AC1*AC12,AD1*AD12)</f>
        <v>108</v>
      </c>
      <c r="C66" s="1">
        <f>SUM(B57:B66)</f>
        <v>1127.45</v>
      </c>
      <c r="D66" s="14">
        <f>C66/B83</f>
        <v>0.5281538389</v>
      </c>
      <c r="E66" s="14">
        <f>H73+D66*H74</f>
        <v>0.7074553801</v>
      </c>
    </row>
    <row r="67">
      <c r="A67" s="10">
        <v>45741.0</v>
      </c>
      <c r="B67" s="1">
        <f>SUM(B1*B13,C1*C13,D1*D13,E1*E13,F1*F13,G1*G13,H1*H13,P1*P13,,AB13*AB1,AE1*AE13,I1*I13,J1*J13,K1*K13,L1*L13,M1*M13,N1*N13,O1*O13,Q1*Q13,R1*R13,S1*S13,T1*T13,U1*U13,V1*V13,W1*W13,X1*X13,Y1*Y13,Z1*Z13,AA1*AA13,AC1*AC13,AD1*AD13)</f>
        <v>109.5</v>
      </c>
      <c r="C67" s="1">
        <f>SUM(B57:B67)</f>
        <v>1236.95</v>
      </c>
      <c r="D67" s="14">
        <f>C67/B83</f>
        <v>0.5794491029</v>
      </c>
      <c r="E67" s="14">
        <f>H73+D67*H74</f>
        <v>0.7392584438</v>
      </c>
    </row>
    <row r="68">
      <c r="A68" s="10">
        <v>45743.0</v>
      </c>
      <c r="B68" s="1">
        <f>SUM(B1*B14,C1*C14,D1*D14,E1*E14,F1*F14,G1*G14,H1*H14,P14*P1,AB14*AB1,AE14*AE1,I1*I14,J1*J14,K1*K14,L1*L14,M1*M14,N1*N14,O1*O14,Q1*Q14,R1*R14,S1*S14,T1*T14,U1*U14,V1*V14,W1*W14,X1*X14,Y1*Y14,Z1*Z14,AA1*AA14,AC1*AC14,AD1*AD14)</f>
        <v>87.5</v>
      </c>
      <c r="C68" s="1">
        <f>SUM(B57:B68)</f>
        <v>1324.45</v>
      </c>
      <c r="D68" s="14">
        <f>C68/B83</f>
        <v>0.6204384691</v>
      </c>
      <c r="E68" s="14">
        <f>H73+D68*H74</f>
        <v>0.7646718508</v>
      </c>
    </row>
    <row r="69">
      <c r="A69" s="10">
        <v>45754.0</v>
      </c>
      <c r="B69" s="1">
        <f>SUM(B1*B15,C1*C15,D1*D15,E1*E15,F1*F15,G1*G15,H1*H15,P15*P1,AB15*AB1,AE15*AE1,I1*I15,J1*J15,K1*K15,L1*L15,M1*M15,N1*N15,O1*O15,Q1*Q15,R1*R15,S1*S15,T1*T15,U1*U15,V1*V15,W1*W15,X1*X15,Y1*Y15,Z1*Z15,AA1*AA15,AC1*AC15,AD1*AD15)</f>
        <v>120</v>
      </c>
      <c r="C69" s="1">
        <f>SUM(B57:B69)</f>
        <v>1444.45</v>
      </c>
      <c r="D69" s="14">
        <f>C69/B83</f>
        <v>0.676652457</v>
      </c>
      <c r="E69" s="14">
        <f>H73+D69*H74</f>
        <v>0.7995245234</v>
      </c>
    </row>
    <row r="70">
      <c r="A70" s="10">
        <v>45755.0</v>
      </c>
      <c r="B70" s="1">
        <f>SUM(B1*B16,C1*C16,D1*D16,E1*E16,F1*F16,G1*G16,H1*H16,P16*P1,AB16*AB1,AE16*AE1,I1*I16,J1*J16,K1*K16,L1*L16,M1*M16,N1*N16,O1*O16,Q1*Q16,R1*R16,S1*S16,T1*T16,U1*U16,V1*V16,W1*W16,X1*X16,Y1*Y16,Z1*Z16,AA1*AA16,AC1*AC16,AD1*AD16)</f>
        <v>87.75</v>
      </c>
      <c r="C70" s="1">
        <f>SUM(B57:B70)</f>
        <v>1532.2</v>
      </c>
      <c r="D70" s="14">
        <f>C70/B83</f>
        <v>0.7177589357</v>
      </c>
      <c r="E70" s="14">
        <f>H73+D70*H74</f>
        <v>0.8250105401</v>
      </c>
    </row>
    <row r="71">
      <c r="A71" s="10">
        <v>45756.0</v>
      </c>
      <c r="B71" s="1">
        <f>SUM(B1*B17,C1*C17,D1*D17,E1*E17,F1*F17,G1*G17,H1*H17,P17*P1,AB17*AB1,AE17*AE1,I1*I17,J1*J17,K1*K17,L1*L17,M1*M17,N1*N17,O1*O17,Q1*Q17,R1*R17,S1*S17,T1*T17,U1*U17,V1*V17,W1*W17,X1*X17,Y1*Y17,Z1*Z17,AA1*AA17,AC1*AC17,AD1*AD17)</f>
        <v>84.5</v>
      </c>
      <c r="C71" s="1">
        <f>SUM(B57:B71)</f>
        <v>1616.7</v>
      </c>
      <c r="D71" s="14">
        <f>C71/B83</f>
        <v>0.7573429522</v>
      </c>
      <c r="E71" s="14">
        <f>H73+D71*H74</f>
        <v>0.8495526303</v>
      </c>
    </row>
    <row r="72">
      <c r="A72" s="10">
        <v>45769.0</v>
      </c>
      <c r="B72" s="1">
        <f>SUM(B1*B18,C1*C18,D1*D18,E1*E18,F1*F18,G1*G18,H1*H18,P18*P1,AB18*AB1,AE18*AE1,I1*I18,J1*J18,K1*K18,L1*L18,M1*M18,N1*N18,O1*O18,Q1*Q18,R1*R18,S1*S18,T1*T18,U1*U18,V1*V18,W1*W18,X1*X18,Y1*Y18,Z1*Z18,AA1*AA18,AC1*AC18,AD1*AD18)</f>
        <v>60.5</v>
      </c>
      <c r="C72" s="1">
        <f>SUM(B57:B72)</f>
        <v>1677.2</v>
      </c>
      <c r="D72" s="14">
        <f>C72/B83</f>
        <v>0.7856841711</v>
      </c>
      <c r="E72" s="14">
        <f>H73+D72*H74</f>
        <v>0.8671241861</v>
      </c>
    </row>
    <row r="73">
      <c r="A73" s="10">
        <v>45776.0</v>
      </c>
      <c r="B73" s="1">
        <f>SUM(B1*B19,C1*C19,D1*D19,E1*E19,F1*F19,G1*G19,H1*H19,P19*P1,AB19*AB1,AE19*AE1,I1*I19,J1*J19,K1*K19,L1*L19,M1*M19,N1*N19,O1*O19,Q1*Q19,R1*R19,S1*S19,T1*T19,U1*U19,V1*V19,W1*W19,X1*X19,Y1*Y19,Z1*Z19,AA1*AA19,AC1*AC19,AD1*AD19)</f>
        <v>75</v>
      </c>
      <c r="C73" s="1">
        <f>SUM(B57:B73)</f>
        <v>1752.2</v>
      </c>
      <c r="D73" s="14">
        <f>C73/B83</f>
        <v>0.8208179135</v>
      </c>
      <c r="E73" s="14">
        <f>H73+D73*H74</f>
        <v>0.8889071064</v>
      </c>
      <c r="G73" s="9" t="s">
        <v>63</v>
      </c>
      <c r="H73" s="15">
        <v>0.38</v>
      </c>
    </row>
    <row r="74">
      <c r="A74" s="10">
        <v>45782.0</v>
      </c>
      <c r="B74" s="1">
        <f>SUM(B1*B20,C1*C20,D1*D20,E1*E20,F1*F20,G1*G20,H1*H20,P20*P1,AB20*AB1,AE20*AE1,I1*I20,J1*J20,K1*K20,L1*L20,M1*M20,N1*N20,O1*O20,Q1*Q20,R1*R20,S1*S20,T1*T20,U1*U20,V1*V20,W1*W20,X1*X20,Y1*Y20,Z1*Z20,AA1*AA20,AC1*AC20,AD1*AD20)</f>
        <v>91.5</v>
      </c>
      <c r="C74" s="1">
        <f>SUM(B57:B74)</f>
        <v>1843.7</v>
      </c>
      <c r="D74" s="14">
        <f>C74/B83</f>
        <v>0.8636810793</v>
      </c>
      <c r="E74" s="14">
        <f>H73+D74*H74</f>
        <v>0.9154822692</v>
      </c>
      <c r="G74" s="9" t="s">
        <v>36</v>
      </c>
      <c r="H74" s="15">
        <f>1-H73</f>
        <v>0.62</v>
      </c>
    </row>
    <row r="75">
      <c r="A75" s="10">
        <v>45783.0</v>
      </c>
      <c r="B75" s="1">
        <f>SUM(B1*B21,C1*C21,D1*D21,E1*E21,F1*F21,G1*G21,H1*H21,P21*P1,AB21*AB1,AE21*AE1,I1*I21,J1*J21,K1*K21,L1*L21,M1*M21,N1*N21,O1*O21,Q1*Q21,R1*R21,S1*S21,T1*T21,U1*U21,V1*V21,W1*W21,X1*X21,Y1*Y21,Z1*Z21,AA1*AA21,AC1*AC21,AD1*AD21)</f>
        <v>81</v>
      </c>
      <c r="C75" s="1">
        <f>SUM(B57:B75)</f>
        <v>1924.7</v>
      </c>
      <c r="D75" s="14">
        <f>C75/B83</f>
        <v>0.9016255212</v>
      </c>
      <c r="E75" s="14">
        <f>H73+D75*H74</f>
        <v>0.9390078231</v>
      </c>
    </row>
    <row r="76">
      <c r="A76" s="10">
        <v>45790.0</v>
      </c>
      <c r="B76" s="1">
        <f>SUM(B1*B22,C1*C22,D1*D22,E1*E22,F1*F22,G1*G22,H1*H22,P22*P1,AB22*AB1,AE22*AE1,I1*I22,J1*J22,K1*K22,L1*L22,M1*M22,N1*N22,O1*O22,Q1*Q22,R1*R22,S1*S22,T1*T22,U1*U22,V1*V22,W1*W22,X1*X22,Y1*Y22,Z1*Z22,AA1*AA22,AC1*AC22,AD1*AD22)</f>
        <v>93</v>
      </c>
      <c r="C76" s="1">
        <f>SUM(B57:B76)</f>
        <v>2017.7</v>
      </c>
      <c r="D76" s="14">
        <f>C76/B83</f>
        <v>0.9451913618</v>
      </c>
      <c r="E76" s="14">
        <f>H73+D76*H74</f>
        <v>0.9660186443</v>
      </c>
    </row>
    <row r="77">
      <c r="A77" s="10">
        <v>45796.0</v>
      </c>
      <c r="B77" s="1">
        <f>SUM(B1*B23,C1*C23,D1*D23,E1*E23,F1*F23,G1*G23,H1*H23,P23*P1,AB23*AB1,AE23*AE1,I1*I23,J1*J23,K1*K23,L1*L23,M1*M23,N1*N23,O1*O23,Q1*Q23,R1*R23,S1*S23,T1*T23,U1*U23,V1*V23,W1*W23,X1*X23,Y1*Y23,Z1*Z23,AA1*AA23,AC1*AC23,AD1*AD23)</f>
        <v>99.5</v>
      </c>
      <c r="C77" s="1">
        <f>SUM(B57:B77)</f>
        <v>2117.2</v>
      </c>
      <c r="D77" s="14">
        <f>C77/B83</f>
        <v>0.9918021268</v>
      </c>
      <c r="E77" s="14">
        <f>H73+D77*H74</f>
        <v>0.9949173186</v>
      </c>
    </row>
    <row r="78">
      <c r="A78" s="10">
        <v>45797.0</v>
      </c>
      <c r="B78" s="1">
        <f>SUM(B1*B24,C1*C24,D1*D24,E1*E24,F1*F24,G1*G24,H1*H24,P24*P1,AB24*AB1,AE24*AE1,I1*I24,J1*J24,K1*K24,L1*L24,M1*M24,N1*N24,O1*O24,Q1*Q24,R1*R24,S1*S24,T1*T24,U1*U24,V1*V24,W1*W24,X1*X24,Y1*Y24,Z1*Z24,AA1*AA24,AC1*AC24,AD1*AD24)</f>
        <v>17.5</v>
      </c>
      <c r="C78" s="1">
        <f>SUM(B57:B78)</f>
        <v>2134.7</v>
      </c>
      <c r="D78" s="14">
        <f>C78/B83</f>
        <v>1</v>
      </c>
      <c r="E78" s="14">
        <f>H73+D78*H74</f>
        <v>1</v>
      </c>
    </row>
    <row r="79">
      <c r="A79" s="6"/>
      <c r="B79" s="1">
        <f>SUM(B1*B25,C1*C25,D1*D25,E1*E25,F1*F25,G1*G25,H1*H25,P25*P1,AB25*AB1,AE25*AE1,I1*I25,J1*J25,K1*K25,L1*L25,M1*M25,N1*N25,O1*O25,Q1*Q25,R1*R25,S1*S25,T1*T25,U1*U25,V1*V25,W1*W25,X1*X25,Y1*Y25,Z1*Z25,AA1*AA25,AC1*AC25,AD1*AD25)</f>
        <v>0</v>
      </c>
      <c r="C79" s="1">
        <f>SUM(B57:B79)</f>
        <v>2134.7</v>
      </c>
      <c r="D79" s="14">
        <f>C79/B83</f>
        <v>1</v>
      </c>
      <c r="E79" s="14">
        <f>H73+D79*H74</f>
        <v>1</v>
      </c>
    </row>
    <row r="80">
      <c r="A80" s="6"/>
      <c r="B80" s="1">
        <f>SUM(B1*B26,C1*C26,D1*D26,E1*E26,F1*F26,G1*G26,H1*H26,P26*P1,AB26*AB1,AE26*AE1,I1*I26,J1*J26,K1*K26,L1*L26,M1*M26,N1*N26,O1*O26,Q1*Q26,R1*R26,S1*S26,T1*T26,U1*U26,V1*V26,W1*W26,X1*X26,Y1*Y26,Z1*Z26,AA1*AA26,AC1*AC26,AD1*AD26)</f>
        <v>0</v>
      </c>
      <c r="C80" s="1">
        <f>SUM(B57:B80)</f>
        <v>2134.7</v>
      </c>
      <c r="D80" s="14">
        <f>C80/B83</f>
        <v>1</v>
      </c>
      <c r="E80" s="14">
        <f>H73+D80*H74</f>
        <v>1</v>
      </c>
    </row>
    <row r="81">
      <c r="A81" s="10"/>
      <c r="B81" s="1">
        <f>SUM(B1*B27,C1*C27,D1*D27,E1*E27,F1*F27,G1*G27,H1*H27,P27*P1,AB27*AB1,AE27*AE1,I1*I27,J1*J27,K1*K27,L1*L27,M1*M27,N1*N27,O1*O27,Q1*Q27,R1*R27,S1*S27,T1*T27,U1*U27,V1*V27,W1*W27,X1*X27,Y1*Y27,Z1*Z27,AA1*AA27,AC1*AC27,AD1*AD27)</f>
        <v>0</v>
      </c>
      <c r="C81" s="1">
        <f>SUM(B57:B81)</f>
        <v>2134.7</v>
      </c>
      <c r="D81" s="14">
        <f>C81/B83</f>
        <v>1</v>
      </c>
      <c r="E81" s="14">
        <f>H73+D81*H74</f>
        <v>1</v>
      </c>
    </row>
    <row r="82">
      <c r="A82" s="10"/>
      <c r="B82" s="1">
        <f>SUM(B1*B28,C1*C28,D1*D28,E1*E28,F1*F28,G1*G28,H1*H28,P28*P1,AB28*AB1,AE28*AE1,I1*I28,J1*J28,K1*K28,L1*L28,M1*M28,N1*N28,O1*O28,Q1*Q28,R1*R28,S1*S28,T1*T28,U1*U28,V1*V28,W1*W28,X1*X28,Y1*Y28,Z1*Z28,AA1*AA28,AC1*AC28,AD1*AD28)</f>
        <v>0</v>
      </c>
      <c r="C82" s="1">
        <f>SUM(B57:B82)</f>
        <v>2134.7</v>
      </c>
      <c r="D82" s="14">
        <f>C82/B83</f>
        <v>1</v>
      </c>
      <c r="E82" s="14">
        <f>H73+D82*H74</f>
        <v>1</v>
      </c>
    </row>
    <row r="83">
      <c r="A83" s="16" t="s">
        <v>37</v>
      </c>
      <c r="B83" s="7">
        <f>SUM(B57:B82)</f>
        <v>2134.7</v>
      </c>
    </row>
  </sheetData>
  <drawing r:id="rId1"/>
</worksheet>
</file>