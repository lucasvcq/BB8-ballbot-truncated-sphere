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I8g/LFGs0RzqBhlMLsByHaxtvjkJeplrjJ6omhN2oFQ="/>
    </ext>
  </extLst>
</workbook>
</file>

<file path=xl/sharedStrings.xml><?xml version="1.0" encoding="utf-8"?>
<sst xmlns="http://schemas.openxmlformats.org/spreadsheetml/2006/main" count="35" uniqueCount="32">
  <si>
    <t>roue inertielle</t>
  </si>
  <si>
    <t>Masse robot (sans RI) (en kg)</t>
  </si>
  <si>
    <t>Masse roue inertielle sans rajout masse</t>
  </si>
  <si>
    <t>Rayon interne RI (en m)</t>
  </si>
  <si>
    <t>ABS</t>
  </si>
  <si>
    <t>kg</t>
  </si>
  <si>
    <t>Rayon externe RI (en m)</t>
  </si>
  <si>
    <t>Rayon interne robot (en m)</t>
  </si>
  <si>
    <t>manque</t>
  </si>
  <si>
    <t>Rayon externe robot (en m)</t>
  </si>
  <si>
    <t>Largeur robot (en m)</t>
  </si>
  <si>
    <t>g (en m/s^2)</t>
  </si>
  <si>
    <t>Vitesse rotation robot (en rad/s)</t>
  </si>
  <si>
    <t>Vitesse rotation RI (en rad/s)</t>
  </si>
  <si>
    <t>tr/min =&gt;</t>
  </si>
  <si>
    <t>Temps (en s)</t>
  </si>
  <si>
    <t>coef de frottement</t>
  </si>
  <si>
    <t>Temps pour atteindre la Vmax (en s)</t>
  </si>
  <si>
    <t>Réducteur</t>
  </si>
  <si>
    <t>Masse de la roue inertielle (en kg)</t>
  </si>
  <si>
    <t>Masse total du robot (en kg)</t>
  </si>
  <si>
    <t>Couple RI (on compte pas le reducteur) (en Nm)</t>
  </si>
  <si>
    <t>Couple moteur (en Nm)</t>
  </si>
  <si>
    <t>Vitesse moteur (en rad/s)</t>
  </si>
  <si>
    <t>roue principale</t>
  </si>
  <si>
    <t>couple sur la roue principale (en N.m)</t>
  </si>
  <si>
    <t>vitesse de la roue principale (en km/h)</t>
  </si>
  <si>
    <t>m par tr</t>
  </si>
  <si>
    <t>vitesse de rotation (en rad/s)</t>
  </si>
  <si>
    <t>réducteur</t>
  </si>
  <si>
    <t>couple moteur (en N.m)</t>
  </si>
  <si>
    <t>vitesse moteur (en rad/s)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</si>
</sst>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2" numFmtId="0" xfId="0" applyBorder="1" applyFont="1"/>
    <xf borderId="0" fillId="0" fontId="2" numFmtId="0" xfId="0" applyFont="1"/>
    <xf borderId="1" fillId="5" fontId="2" numFmtId="0" xfId="0" applyBorder="1" applyFill="1" applyFont="1"/>
    <xf borderId="1" fillId="3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88"/>
    <col customWidth="1" min="3" max="3" width="8.25"/>
    <col customWidth="1" min="7" max="7" width="33.75"/>
  </cols>
  <sheetData>
    <row r="1">
      <c r="A1" s="1" t="s">
        <v>0</v>
      </c>
      <c r="B1" s="2"/>
      <c r="C1" s="3"/>
      <c r="D1" s="3"/>
      <c r="G1" s="4"/>
    </row>
    <row r="2">
      <c r="A2" s="5" t="s">
        <v>1</v>
      </c>
      <c r="B2" s="6">
        <v>5.0</v>
      </c>
      <c r="C2" s="7"/>
      <c r="D2" s="7"/>
      <c r="G2" s="4" t="s">
        <v>2</v>
      </c>
    </row>
    <row r="3">
      <c r="A3" s="5" t="s">
        <v>3</v>
      </c>
      <c r="B3" s="6">
        <v>0.115</v>
      </c>
      <c r="C3" s="7"/>
      <c r="D3" s="7"/>
      <c r="G3" s="4" t="s">
        <v>4</v>
      </c>
      <c r="H3" s="4">
        <v>1.388</v>
      </c>
      <c r="I3" s="4" t="s">
        <v>5</v>
      </c>
    </row>
    <row r="4">
      <c r="A4" s="5" t="s">
        <v>6</v>
      </c>
      <c r="B4" s="6">
        <v>0.15</v>
      </c>
      <c r="C4" s="7"/>
      <c r="D4" s="7"/>
    </row>
    <row r="5">
      <c r="A5" s="5" t="s">
        <v>7</v>
      </c>
      <c r="B5" s="6">
        <v>0.29</v>
      </c>
      <c r="C5" s="7"/>
      <c r="D5" s="7"/>
      <c r="G5" s="4" t="s">
        <v>8</v>
      </c>
      <c r="H5" s="8">
        <f>B16-1.388</f>
        <v>0.4236601392</v>
      </c>
    </row>
    <row r="6">
      <c r="A6" s="5" t="s">
        <v>9</v>
      </c>
      <c r="B6" s="6">
        <v>0.3</v>
      </c>
      <c r="C6" s="7"/>
      <c r="D6" s="7"/>
    </row>
    <row r="7">
      <c r="A7" s="5" t="s">
        <v>10</v>
      </c>
      <c r="B7" s="6">
        <v>0.3</v>
      </c>
      <c r="C7" s="7"/>
      <c r="D7" s="7"/>
    </row>
    <row r="8">
      <c r="A8" s="5" t="s">
        <v>11</v>
      </c>
      <c r="B8" s="6">
        <v>9.81</v>
      </c>
      <c r="C8" s="7"/>
      <c r="D8" s="7"/>
    </row>
    <row r="9">
      <c r="A9" s="5" t="s">
        <v>12</v>
      </c>
      <c r="B9" s="7">
        <f>2*PI()/5</f>
        <v>1.256637061</v>
      </c>
      <c r="C9" s="7"/>
      <c r="D9" s="7"/>
    </row>
    <row r="10">
      <c r="A10" s="5" t="s">
        <v>13</v>
      </c>
      <c r="B10" s="7">
        <f>D10*PI()/30</f>
        <v>52.35987756</v>
      </c>
      <c r="C10" s="6" t="s">
        <v>14</v>
      </c>
      <c r="D10" s="6">
        <v>500.0</v>
      </c>
    </row>
    <row r="11">
      <c r="A11" s="5" t="s">
        <v>15</v>
      </c>
      <c r="B11" s="6">
        <v>5.0</v>
      </c>
      <c r="C11" s="7"/>
      <c r="D11" s="7"/>
    </row>
    <row r="12">
      <c r="A12" s="5" t="s">
        <v>16</v>
      </c>
      <c r="B12" s="6">
        <v>0.35</v>
      </c>
      <c r="C12" s="7"/>
      <c r="D12" s="7"/>
    </row>
    <row r="13">
      <c r="A13" s="5" t="s">
        <v>17</v>
      </c>
      <c r="B13" s="6">
        <v>2.0</v>
      </c>
      <c r="C13" s="7"/>
      <c r="D13" s="7"/>
    </row>
    <row r="14">
      <c r="A14" s="5" t="s">
        <v>18</v>
      </c>
      <c r="B14" s="6">
        <v>4.0</v>
      </c>
      <c r="C14" s="7"/>
      <c r="D14" s="7"/>
    </row>
    <row r="15">
      <c r="A15" s="9"/>
      <c r="B15" s="9"/>
      <c r="C15" s="9"/>
      <c r="D15" s="9"/>
    </row>
    <row r="16">
      <c r="A16" s="10" t="s">
        <v>19</v>
      </c>
      <c r="B16" s="7">
        <f>(B2*(1/8*(B6^2+B5^2+(B7^2)/3)*B9^2+B12*B8*B6*B9*B11))/(1/4*(B3^2+B4^2)*B10^2-1/8*(B6^2+B5^2+(B7^2)/3)*B9^2-B12*B8*B6*B9*B11)</f>
        <v>1.811660139</v>
      </c>
      <c r="C16" s="7"/>
      <c r="D16" s="7"/>
    </row>
    <row r="17">
      <c r="A17" s="10" t="s">
        <v>20</v>
      </c>
      <c r="B17" s="7">
        <f>B16+B2</f>
        <v>6.811660139</v>
      </c>
      <c r="C17" s="7"/>
      <c r="D17" s="7"/>
    </row>
    <row r="18">
      <c r="A18" s="9"/>
      <c r="B18" s="9"/>
      <c r="C18" s="9"/>
      <c r="D18" s="9"/>
    </row>
    <row r="19">
      <c r="A19" s="10" t="s">
        <v>21</v>
      </c>
      <c r="B19" s="7">
        <f>1/2*B16*(B3^2+B4^2)*B10/B13</f>
        <v>0.8472032193</v>
      </c>
      <c r="C19" s="7"/>
      <c r="D19" s="7"/>
    </row>
    <row r="20">
      <c r="A20" s="11"/>
      <c r="B20" s="9"/>
      <c r="C20" s="9"/>
      <c r="D20" s="9"/>
      <c r="G20" s="4"/>
    </row>
    <row r="21">
      <c r="A21" s="10" t="s">
        <v>22</v>
      </c>
      <c r="B21" s="7">
        <f>B19/B14</f>
        <v>0.2118008048</v>
      </c>
      <c r="C21" s="7"/>
      <c r="D21" s="7"/>
      <c r="G21" s="4"/>
      <c r="H21" s="4"/>
    </row>
    <row r="22">
      <c r="A22" s="10" t="s">
        <v>23</v>
      </c>
      <c r="B22" s="7">
        <f>B10*B14</f>
        <v>209.4395102</v>
      </c>
      <c r="C22" s="6" t="s">
        <v>14</v>
      </c>
      <c r="D22" s="7">
        <f>D10*B14</f>
        <v>2000</v>
      </c>
      <c r="G22" s="4"/>
    </row>
    <row r="23">
      <c r="A23" s="12"/>
      <c r="B23" s="12"/>
      <c r="C23" s="12"/>
      <c r="D23" s="12"/>
      <c r="G23" s="4"/>
    </row>
    <row r="24">
      <c r="A24" s="12"/>
      <c r="B24" s="12"/>
      <c r="C24" s="12"/>
      <c r="D24" s="12"/>
      <c r="G24" s="4"/>
    </row>
    <row r="25">
      <c r="A25" s="1" t="s">
        <v>24</v>
      </c>
      <c r="B25" s="3"/>
      <c r="C25" s="3"/>
      <c r="D25" s="3"/>
      <c r="G25" s="4"/>
    </row>
    <row r="26">
      <c r="A26" s="10" t="s">
        <v>25</v>
      </c>
      <c r="B26" s="7">
        <f>SIN((10*PI())/180)*B6*0.7*B17*B8</f>
        <v>2.436752966</v>
      </c>
      <c r="C26" s="7"/>
      <c r="D26" s="7"/>
      <c r="G26" s="4"/>
    </row>
    <row r="27">
      <c r="A27" s="10" t="s">
        <v>26</v>
      </c>
      <c r="B27" s="6">
        <v>10.0</v>
      </c>
      <c r="C27" s="7"/>
      <c r="D27" s="7"/>
    </row>
    <row r="28">
      <c r="A28" s="10" t="s">
        <v>27</v>
      </c>
      <c r="B28" s="7">
        <f>2*PI()*B6</f>
        <v>1.884955592</v>
      </c>
      <c r="C28" s="7"/>
      <c r="D28" s="7"/>
    </row>
    <row r="29">
      <c r="A29" s="10" t="s">
        <v>28</v>
      </c>
      <c r="B29" s="7">
        <f>(2*PI()*B27)/(B28*3.6)</f>
        <v>9.259259259</v>
      </c>
      <c r="C29" s="6" t="s">
        <v>14</v>
      </c>
      <c r="D29" s="7">
        <f>(B29*30)/PI()</f>
        <v>88.41941283</v>
      </c>
    </row>
    <row r="30">
      <c r="A30" s="10" t="s">
        <v>29</v>
      </c>
      <c r="B30" s="6">
        <f>60/10</f>
        <v>6</v>
      </c>
      <c r="C30" s="7"/>
      <c r="D30" s="7"/>
    </row>
    <row r="31">
      <c r="A31" s="10" t="s">
        <v>30</v>
      </c>
      <c r="B31" s="7">
        <f>B26/B30</f>
        <v>0.4061254943</v>
      </c>
      <c r="C31" s="7"/>
      <c r="D31" s="7"/>
    </row>
    <row r="32">
      <c r="A32" s="10" t="s">
        <v>31</v>
      </c>
      <c r="B32" s="7">
        <f>B29*B30</f>
        <v>55.55555556</v>
      </c>
      <c r="C32" s="6" t="s">
        <v>14</v>
      </c>
      <c r="D32" s="7">
        <f>D29*B30</f>
        <v>530.516477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2024-11-04T12:41:15Z</dcterms:created>
  <dc:creator>timothee Decaudin</dc:creator>
</cp:coreProperties>
</file>